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LMOFOOD\PLANIFICACION\PLANIFICACION DE PRODUCCION\"/>
    </mc:Choice>
  </mc:AlternateContent>
  <xr:revisionPtr revIDLastSave="0" documentId="13_ncr:1_{86B76FE5-8419-4AFB-9BC5-4EB2299B4980}" xr6:coauthVersionLast="47" xr6:coauthVersionMax="47" xr10:uidLastSave="{00000000-0000-0000-0000-000000000000}"/>
  <bookViews>
    <workbookView xWindow="-120" yWindow="-120" windowWidth="20730" windowHeight="11160" activeTab="3" xr2:uid="{1C9631E4-7CCB-4D30-AD6C-89860F6EF856}"/>
  </bookViews>
  <sheets>
    <sheet name="DATA" sheetId="13" r:id="rId1"/>
    <sheet name="Fecha Cliente" sheetId="7" r:id="rId2"/>
    <sheet name="TD" sheetId="10" r:id="rId3"/>
    <sheet name="DIFERENCIAL" sheetId="11" r:id="rId4"/>
  </sheets>
  <functionGroups builtInGroupCount="19"/>
  <definedNames>
    <definedName name="_xlnm._FilterDatabase" localSheetId="0" hidden="1">DATA!$A$3:$BM$64</definedName>
    <definedName name="_xlnm._FilterDatabase" localSheetId="1" hidden="1">'Fecha Cliente'!$A$3:$BI$64</definedName>
  </definedNames>
  <calcPr calcId="191029"/>
  <pivotCaches>
    <pivotCache cacheId="85" r:id="rId5"/>
    <pivotCache cacheId="9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4" i="13" l="1"/>
  <c r="O63" i="13"/>
  <c r="O62" i="13"/>
  <c r="O61" i="13"/>
  <c r="O60" i="13"/>
  <c r="O59" i="13"/>
  <c r="O58" i="13"/>
  <c r="O57" i="13"/>
  <c r="O56" i="13"/>
  <c r="O55" i="13"/>
  <c r="O54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O4" i="13"/>
  <c r="P64" i="13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J2" i="7"/>
  <c r="BM2" i="13"/>
  <c r="BL2" i="13"/>
  <c r="BK2" i="13"/>
  <c r="BJ2" i="13"/>
  <c r="BI2" i="13"/>
  <c r="BH2" i="13"/>
  <c r="BG2" i="13"/>
  <c r="BF2" i="13"/>
  <c r="BE2" i="13"/>
  <c r="BD2" i="13"/>
  <c r="BC2" i="13"/>
  <c r="BB2" i="13"/>
  <c r="BA2" i="13"/>
  <c r="AZ2" i="13"/>
  <c r="AY2" i="13"/>
  <c r="AX2" i="13"/>
  <c r="AW2" i="13"/>
  <c r="AV2" i="13"/>
  <c r="AU2" i="13"/>
  <c r="AT2" i="13"/>
  <c r="AS2" i="13"/>
  <c r="AR2" i="13"/>
  <c r="AQ2" i="13"/>
  <c r="AP2" i="13"/>
  <c r="AO2" i="13"/>
  <c r="AN2" i="13"/>
  <c r="AM2" i="13"/>
  <c r="AL2" i="13"/>
  <c r="AK2" i="13"/>
  <c r="AJ2" i="13"/>
  <c r="AI2" i="13"/>
  <c r="AH2" i="13"/>
  <c r="AG2" i="13"/>
  <c r="AF2" i="13"/>
  <c r="AE2" i="13"/>
  <c r="AD2" i="13"/>
  <c r="AC2" i="13"/>
  <c r="AB2" i="13"/>
  <c r="AA2" i="13"/>
  <c r="Z2" i="13"/>
  <c r="Y2" i="13"/>
  <c r="X2" i="13"/>
  <c r="W2" i="13"/>
  <c r="V2" i="13"/>
  <c r="U2" i="13"/>
  <c r="T2" i="13"/>
  <c r="S2" i="13"/>
  <c r="R2" i="13"/>
  <c r="Q2" i="13"/>
  <c r="K2" i="7" l="1"/>
  <c r="O2" i="13"/>
  <c r="K60" i="13"/>
  <c r="G60" i="13" s="1"/>
  <c r="K59" i="13"/>
  <c r="G59" i="13" s="1"/>
  <c r="K34" i="13"/>
  <c r="G34" i="13" s="1"/>
  <c r="P2" i="13" l="1"/>
  <c r="K38" i="13" l="1"/>
  <c r="G38" i="13" s="1"/>
  <c r="K27" i="13"/>
  <c r="G27" i="13" s="1"/>
  <c r="K33" i="13"/>
  <c r="G33" i="13" s="1"/>
  <c r="K32" i="13"/>
  <c r="G32" i="13" s="1"/>
  <c r="K31" i="13"/>
  <c r="G31" i="13" s="1"/>
  <c r="K30" i="13"/>
  <c r="G30" i="13" s="1"/>
  <c r="K29" i="13"/>
  <c r="G29" i="13" s="1"/>
  <c r="K28" i="13"/>
  <c r="G28" i="13" s="1"/>
  <c r="K58" i="13"/>
  <c r="G58" i="13" s="1"/>
  <c r="K44" i="13"/>
  <c r="G44" i="13" s="1"/>
  <c r="K54" i="13"/>
  <c r="G54" i="13" s="1"/>
  <c r="K53" i="13"/>
  <c r="G53" i="13" s="1"/>
  <c r="K41" i="13"/>
  <c r="G41" i="13" s="1"/>
  <c r="K40" i="13"/>
  <c r="G40" i="13" s="1"/>
  <c r="K50" i="13"/>
  <c r="G50" i="13" s="1"/>
  <c r="K49" i="13"/>
  <c r="G49" i="13" s="1"/>
  <c r="K36" i="13"/>
  <c r="G36" i="13" s="1"/>
  <c r="K11" i="13"/>
  <c r="G11" i="13" s="1"/>
  <c r="K10" i="13"/>
  <c r="G10" i="13" s="1"/>
  <c r="K9" i="13"/>
  <c r="G9" i="13" s="1"/>
  <c r="K8" i="13"/>
  <c r="G8" i="13" s="1"/>
  <c r="K5" i="13"/>
  <c r="G5" i="13" s="1"/>
  <c r="K12" i="13"/>
  <c r="G12" i="13" s="1"/>
  <c r="K4" i="13"/>
  <c r="G4" i="13" s="1"/>
  <c r="K14" i="13"/>
  <c r="G14" i="13" s="1"/>
  <c r="K13" i="13"/>
  <c r="G13" i="13" s="1"/>
  <c r="K16" i="13" l="1"/>
  <c r="G16" i="13" s="1"/>
  <c r="K15" i="13"/>
  <c r="G15" i="13" s="1"/>
  <c r="K52" i="13" l="1"/>
  <c r="G52" i="13" s="1"/>
  <c r="K43" i="13"/>
  <c r="G43" i="13" s="1"/>
  <c r="K35" i="13"/>
  <c r="G35" i="13" s="1"/>
  <c r="K51" i="13"/>
  <c r="G51" i="13" s="1"/>
  <c r="K42" i="13"/>
  <c r="G42" i="13" s="1"/>
  <c r="K64" i="13"/>
  <c r="G64" i="13" s="1"/>
  <c r="K63" i="13"/>
  <c r="G63" i="13" s="1"/>
  <c r="K62" i="13"/>
  <c r="G62" i="13" s="1"/>
  <c r="K56" i="13"/>
  <c r="G56" i="13" s="1"/>
  <c r="K55" i="13"/>
  <c r="G55" i="13" s="1"/>
  <c r="K17" i="13"/>
  <c r="G17" i="13" s="1"/>
  <c r="K19" i="13"/>
  <c r="G19" i="13" s="1"/>
  <c r="K47" i="13"/>
  <c r="G47" i="13" s="1"/>
  <c r="K46" i="13"/>
  <c r="G46" i="13" s="1"/>
  <c r="K39" i="13"/>
  <c r="G39" i="13" s="1"/>
  <c r="K45" i="13"/>
  <c r="G45" i="13" s="1"/>
  <c r="K48" i="13"/>
  <c r="G48" i="13" s="1"/>
  <c r="K61" i="13"/>
  <c r="G61" i="13" s="1"/>
  <c r="K6" i="13"/>
  <c r="G6" i="13" s="1"/>
  <c r="K7" i="13"/>
  <c r="G7" i="13" s="1"/>
  <c r="K37" i="13"/>
  <c r="G37" i="13" s="1"/>
  <c r="K18" i="13"/>
  <c r="G18" i="13" s="1"/>
  <c r="K57" i="13"/>
  <c r="G57" i="13" s="1"/>
  <c r="K26" i="13"/>
  <c r="G26" i="13" s="1"/>
  <c r="K25" i="13"/>
  <c r="G25" i="13" s="1"/>
  <c r="K24" i="13"/>
  <c r="G24" i="13" s="1"/>
  <c r="K23" i="13"/>
  <c r="G23" i="13" s="1"/>
  <c r="K22" i="13"/>
  <c r="G22" i="13" s="1"/>
  <c r="K21" i="13"/>
  <c r="G21" i="13" s="1"/>
  <c r="K20" i="13"/>
  <c r="G20" i="13" s="1"/>
  <c r="D5" i="11" l="1"/>
</calcChain>
</file>

<file path=xl/sharedStrings.xml><?xml version="1.0" encoding="utf-8"?>
<sst xmlns="http://schemas.openxmlformats.org/spreadsheetml/2006/main" count="656" uniqueCount="122">
  <si>
    <t>Material</t>
  </si>
  <si>
    <t>Descripción Dieta</t>
  </si>
  <si>
    <t>Doc.vtas.</t>
  </si>
  <si>
    <t>CALIBRE</t>
  </si>
  <si>
    <t>FORMATO</t>
  </si>
  <si>
    <t>NORMAL</t>
  </si>
  <si>
    <t>MAXISACO 1250 KILOS</t>
  </si>
  <si>
    <t>Total general</t>
  </si>
  <si>
    <t>Total</t>
  </si>
  <si>
    <t>OFERTA</t>
  </si>
  <si>
    <t>DEMANDA</t>
  </si>
  <si>
    <t>DIFERENCIAL</t>
  </si>
  <si>
    <t>Etiquetas de fila</t>
  </si>
  <si>
    <t>Tipo de Dieta</t>
  </si>
  <si>
    <t>ADELANTO FECHA</t>
  </si>
  <si>
    <t>INDICADOR RT</t>
  </si>
  <si>
    <t>CERMAQ-CALEN 2</t>
  </si>
  <si>
    <t>PROD.VENTISQUEROS-PITIHORNO SUR</t>
  </si>
  <si>
    <t>Suma de CANTIDAD SELECCIONADA</t>
  </si>
  <si>
    <t>CERMAQ-DUCAÑAS</t>
  </si>
  <si>
    <t>MEDICADO</t>
  </si>
  <si>
    <t>(XI-PP)(N)(M)(34)(41,5)//EXPLORADOR XG 500, ASTAXANTINA 10% 90,000 PPM</t>
  </si>
  <si>
    <t>AUSTRALIS-HUMOS 5</t>
  </si>
  <si>
    <t>(X-PP)(N)(M)(38,5)(37,5)//EXPLORADOR XG (N3+) 2009, ASTAXANTINA 10% 60,000 PPM, PREMIX CQ 1,000 PKT</t>
  </si>
  <si>
    <t>PROD.VENTISQ-NORTE ISLA FRANCISCO</t>
  </si>
  <si>
    <t>PROD.VENTISQUEROS-MORROLOBOS</t>
  </si>
  <si>
    <t>(XI-PP)(N)(M)(39,5)(37)//EXPLORADOR XG 3000, ASTAXANTINA 10% 90,000 PPM</t>
  </si>
  <si>
    <t>AUSTRALIS-MELCHOR 4</t>
  </si>
  <si>
    <t>MULTIEXPORT-LLAGUEPE</t>
  </si>
  <si>
    <t>BOLSA 25 KILOS</t>
  </si>
  <si>
    <t>(X-SPOT)(N)(M)(37)(38)//EXPLORADOR XG 4000 (9) - MULTIX, ASTAXANTINA 10% 60,000 PPM</t>
  </si>
  <si>
    <t>MOWI CHILE-PUNTA APIAO</t>
  </si>
  <si>
    <t>MULTIEXPORT-CHAPARANO</t>
  </si>
  <si>
    <t>(-)(N)(B)(24)(42)//LEMUY 250 EXP, ASTAXANTINA 10% 80,000 PPM</t>
  </si>
  <si>
    <t>LLC "SALTRA"</t>
  </si>
  <si>
    <t>(-)(N)(B)(20)(44)//TR-2242-02 EXP</t>
  </si>
  <si>
    <t>(-)(N)(B)(20)(44)//TR-2242-03 EXP</t>
  </si>
  <si>
    <t>(-)(N)(B)(24)(39,5)//LEMUY 1000 EXP, ASTAXANTINA 10% 80,000 PPM</t>
  </si>
  <si>
    <t>(-)(N)(M)(26)(43)//EXPLORADOR 500, ASTAXANTINA 10% 100,000 PPM</t>
  </si>
  <si>
    <t>(-)(N)(B)(24)(39,5)//LEMUY 500 EXP, ASTAXANTINA 10% 80,000 PPM</t>
  </si>
  <si>
    <t>(-)(N)(M)(27)(37)//EXPLORADOR 1000, ASTAXANTINA 10% 100,000 PPM</t>
  </si>
  <si>
    <t>CANTIDAD TOTAL</t>
  </si>
  <si>
    <t>Analisis</t>
  </si>
  <si>
    <t>Adelanto total</t>
  </si>
  <si>
    <t>FECHA REQUERIDA PRODUCCION</t>
  </si>
  <si>
    <t>FECHA CLIENTE</t>
  </si>
  <si>
    <t>CENTRO</t>
  </si>
  <si>
    <t>CLIENTE</t>
  </si>
  <si>
    <t>MULTIEXPORT-CHALACAYEC</t>
  </si>
  <si>
    <t>(X-SPOT)(N)(M)(37)(38)//EXPLORADOR XG 2500 (9) - MULTIX, ASTAXANTINA 10% 60,000 PPM</t>
  </si>
  <si>
    <t>PROD.VENTISQUEROS-LINGUAR</t>
  </si>
  <si>
    <t>(XI-TERRESTRE)(N)(M)(36)(38)//EXPLORADOR XG 1000 - MULTIX, ASTAXANTINA 10% 60,000 PPM</t>
  </si>
  <si>
    <t>MULTIEXPORT-IZAZA</t>
  </si>
  <si>
    <t>CANTIDAD SELECCIONADA</t>
  </si>
  <si>
    <t>(-)(N)(B)(0)(0)//TRANSFER SALAR XG100- MW, ASTAXANTINA 10% 80,000 PPM</t>
  </si>
  <si>
    <t>MOWI CHILE-BAJO LA BARRA</t>
  </si>
  <si>
    <t>PRIMERA FECHA</t>
  </si>
  <si>
    <t>MEF</t>
  </si>
  <si>
    <t>VTQ</t>
  </si>
  <si>
    <t>MOWI</t>
  </si>
  <si>
    <t>CMQ</t>
  </si>
  <si>
    <t>FECHA LIMITE PRODUCCION</t>
  </si>
  <si>
    <t>(-)(N)(M)(36)(39)//EXPLORADOR XG 1000 - MW, ASTAXANTINA 10% 80,000 PPM</t>
  </si>
  <si>
    <t>CERMAQ-TRANQUI 1</t>
  </si>
  <si>
    <t>ATM</t>
  </si>
  <si>
    <t>(X-PP)(N)(M)(38,5)(37,5)//EXPLORADOR XG (N3+) 2009, ASTAXANTINA 10% 60,000 PPM, C3 - COS 2,500 KGT</t>
  </si>
  <si>
    <t>AUSTRALIS-HUMOS 3</t>
  </si>
  <si>
    <t>AUSTRALIS-MORALEDA</t>
  </si>
  <si>
    <t>(XI-PP)(N)(M)(38,5)(37,5)//EXPLORADOR XG 2009, ASTAXANTINA 10% 90,000 PPM</t>
  </si>
  <si>
    <t>(XI-TERRESTRE)(N)(M)(37)(38)//EXPLORADOR XG 2500 (9) - MULTIX, ASTAXANTINA 10% 60,000 PPM</t>
  </si>
  <si>
    <t>(XI-SPOT)(N)(M)(37)(38)//EXPLORADOR XG 4000 (9) - MULTIX, ASTAXANTINA 10% 60,000 PPM</t>
  </si>
  <si>
    <t>(-)(N)(M)(36)(39)//EXPLORADOR XG 1000-VTQ, ASTAXANTINA 10% 80,000 PPM</t>
  </si>
  <si>
    <t>(-)(N)(M)(27,5)(47,5)//TRANSFER XG (N3+) 100 - CQ, ASTAXANTINA 10% 80,000 PPM, C3 - COS 2,500 KGT</t>
  </si>
  <si>
    <t>(X-PP)(N)(M)(30)(39)//EXPLORADOR AE 500-VTQ, ASTAXANTINA 10% 80,000 PPM, L-END 1,000 KGT</t>
  </si>
  <si>
    <t>(X-PP)(N)(M)(39,5)(37)//EXPLORADOR XG 3000 -VTQ, ASTAXANTINA 10% 80,000 PPM, L-END 1,000 KGT, PAQ - XTRACT 1,500 KGT</t>
  </si>
  <si>
    <t>(X-PP)(N)(M)(39,5)(37)//EXPLORADOR XG 3000 -VTQ, ASTAXANTINA 10% 80,000 PPM, Extra n3 EPA+DHA (USD/+0,5% incl) 4,000 PKT, L-END 1,000 KGT, PAQ - XTRACT 1,500 KGT</t>
  </si>
  <si>
    <t>(-)(N)(M)(36)(38)//EXPLORADOR XG 1000 - MULTIX, ASTAXANTINA 10% 60,000 PPM</t>
  </si>
  <si>
    <t>(-)(N)(M)(39,5)(36,5)//EXPLORADOR XG 3000, ASTAXANTINA 10% 70,000 PPM</t>
  </si>
  <si>
    <t>PROD.VENTISQUEROS-ICA</t>
  </si>
  <si>
    <t>MULTIEXPORT-ROWLET</t>
  </si>
  <si>
    <t>MOWI CHILE-PALQUI</t>
  </si>
  <si>
    <t>Cliente</t>
  </si>
  <si>
    <t>(-)(N)(M)(39,5)(36,5)//EXPLORADOR XG 3000, ASTAXANTINA 10% 70,000 PPM, SKIN PACK MOWI 1,000 PKT</t>
  </si>
  <si>
    <t>(X-TERRESTRE)(N)(M)(38)(37,5)//SFM XG 2000 - MW, ASTAXANTINA 10% 80,000 PPM, VETERIN 80% Florfenicol - Centrovet 3,500 KGT</t>
  </si>
  <si>
    <t>MOWI CHILE S.A.</t>
  </si>
  <si>
    <t>(-)(N)(M)(0)(0)//TRANSFER SALAR XG100- MW, ASTAXANTINA 10% 80,000 PPM</t>
  </si>
  <si>
    <t>(-)(N)(M)(34,5)(35,5)//SFM AE 2500 (9) - MULTIX, ASTAXANTINA 10% 60,000 PPM, ATEFLOR 50% (FLORFENICOL) 5,000 KGT</t>
  </si>
  <si>
    <t>MULTI X S.A.</t>
  </si>
  <si>
    <t>MOWI CHILE-LLINGUA</t>
  </si>
  <si>
    <t>(X-PP)(N)(M)(37)(35)//EXPLORADOR AE 3000-VTQ, ASTAXANTINA 10% 80,000 PPM, L-END 1,000 KGT, C3 - COS 2,500 KGT</t>
  </si>
  <si>
    <t>RUSIA</t>
  </si>
  <si>
    <t>(Todas)</t>
  </si>
  <si>
    <t>(XI-TERRESTRE)(N)(M)(37)(38)//EXPLORADOR XG 2500 (9) - MULTIX, ASTAXANTINA 10% 80,000 PPM</t>
  </si>
  <si>
    <t>(X-PP)(N)(M)(38)(37,5)//SFM XG 2000, ASTAXANTINA 10% 80,000 PPM, L-END 1,000 KGT, PAQ - XTRACT 1,500 KGT, VETERIN 80% Florfenicol - Centrovet 3,700 KGT</t>
  </si>
  <si>
    <t>(X-PP)(N)(M)(38)(37,5)//SFM XG 2000, ASTAXANTINA 10% 80,000 PPM, L-END 1,000 KGT, PAQ - XTRACT 1,500 KGT, VETERIN 80% Florfenicol - Centrovet 3,200 KGT</t>
  </si>
  <si>
    <t>(XI-PP)(N)(M)(26)(46)//SFM AE 100, ASTAXANTINA 10% 90,000 PPM, QUINAFISH (B EMAMECTINA) 3,200 KGT</t>
  </si>
  <si>
    <t>(XI-PP)(N)(M)(30)(42)//SFM AE 500, ASTAXANTINA 10% 90,000 PPM, QUINAFISH (B EMAMECTINA) 3,200 KGT</t>
  </si>
  <si>
    <t>Puerto de Salida</t>
  </si>
  <si>
    <t>BEIJING BIO-TECH CO. LTD</t>
  </si>
  <si>
    <t>(0-0)(N)(B)(20)(44)//TR-2242-03</t>
  </si>
  <si>
    <t>(0-0)(N)(B)(22)(42)//TR-2242-06</t>
  </si>
  <si>
    <t>(0-0)(N)(B)(22)(42)//TR-2242-09</t>
  </si>
  <si>
    <t>VITAPRO CHILE S.A.</t>
  </si>
  <si>
    <t>(-)(N)(M)(36)(39)//EXPLORADOR XG 1000 - MW, ASTAXANTINA 10% 80,000 PPM, SKIN PACK MOWI 1,000 PKT, PAQ - XTRACT 1,500 KGT</t>
  </si>
  <si>
    <t>(-)(N)(M)(39,5)(37)//EXPLORADOR XG 3000, ASTAXANTINA 10% 90,000 PPM</t>
  </si>
  <si>
    <t>AUSTRALIS-PUNTA LAUCA</t>
  </si>
  <si>
    <t>(-)(N)(M)(38)(37,5)//SFM XG 2009 - CQ, ASTAXANTINA 10% 80,000 PPM, DUFLOSAN 50% (FLORFENICOL) 6,000 KGT</t>
  </si>
  <si>
    <t>CERMAQ CHILE S.A.</t>
  </si>
  <si>
    <t>(X-PP)(N)(M)(39,5)(37)//EXPLORADOR XG 3000 -VTQ, ASTAXANTINA 10% 80,000 PPM, KOMBO SHIELD 5,000 L</t>
  </si>
  <si>
    <t>(-)(N)(M)(38)(37,5)//SFM XG 2000 - MW, ASTAXANTINA 10% 70,000 PPM, VETERIN 80% Florfenicol - Centrovet 4,700 KGT</t>
  </si>
  <si>
    <t>MOWI CHILE-HUELMO</t>
  </si>
  <si>
    <t>(-)(N)(M)(29,5)(46)//SFM XG 250 - CQ, ASTAXANTINA 10% 80,000 PPM, DUFLOSAN 50% (FLORFENICOL) 3,000 KGT</t>
  </si>
  <si>
    <t>(-)(N)(M)(22)(48)//VITACARE TRAN 60, ASTAXANTINA 10% 60,000 PPM, VIRAL 1,000 PKT</t>
  </si>
  <si>
    <t>MAXISACO 500 KILOS</t>
  </si>
  <si>
    <t>(-)(N)(M)(35)(39)//SFM XG 1000 - MW, ASTAXANTINA 10% 80,000 PPM, QUINAFISH (B EMAMECTINA) 5,000 KGT, SKIN PACK MOWI 1,000 PKT, PAQ - XTRACT 1,500 KGT</t>
  </si>
  <si>
    <t>CANTIDAD SELECCCIONADA</t>
  </si>
  <si>
    <t>CASTRO</t>
  </si>
  <si>
    <t>QUELLON</t>
  </si>
  <si>
    <t>CONTINENTE</t>
  </si>
  <si>
    <t>CALBUCO</t>
  </si>
  <si>
    <t>BEIJING</t>
  </si>
  <si>
    <t>VITAPRO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</si>
</sst>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1" xfId="0" applyBorder="1"/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pivotButton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1" fontId="0" fillId="0" borderId="1" xfId="0" applyNumberFormat="1" applyBorder="1"/>
    <xf numFmtId="0" fontId="0" fillId="3" borderId="0" xfId="0" applyFill="1" applyAlignment="1">
      <alignment horizontal="center"/>
    </xf>
    <xf numFmtId="0" fontId="2" fillId="0" borderId="0" xfId="0" applyFont="1" applyAlignment="1">
      <alignment horizontal="left"/>
    </xf>
    <xf numFmtId="14" fontId="0" fillId="0" borderId="0" xfId="0" applyNumberFormat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14" fontId="1" fillId="2" borderId="3" xfId="0" applyNumberFormat="1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center" vertical="center"/>
    </xf>
    <xf numFmtId="14" fontId="1" fillId="2" borderId="5" xfId="0" applyNumberFormat="1" applyFont="1" applyFill="1" applyBorder="1" applyAlignment="1">
      <alignment horizontal="center" vertical="center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0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6" xfId="0" applyFill="1" applyBorder="1"/>
    <xf numFmtId="0" fontId="0" fillId="4" borderId="0" xfId="0" applyFill="1" applyBorder="1"/>
    <xf numFmtId="0" fontId="0" fillId="4" borderId="7" xfId="0" applyFill="1" applyBorder="1"/>
    <xf numFmtId="14" fontId="0" fillId="4" borderId="6" xfId="0" applyNumberFormat="1" applyFill="1" applyBorder="1"/>
    <xf numFmtId="0" fontId="0" fillId="4" borderId="0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numFmt numFmtId="3" formatCode="#,##0"/>
    </dxf>
    <dxf>
      <alignment horizontal="center"/>
    </dxf>
    <dxf>
      <alignment horizontal="center"/>
    </dxf>
    <dxf>
      <alignment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b="1"/>
              <a:t>Balance Oferta / Demanda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02-477C-8A2A-7C3F88F754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D02-477C-8A2A-7C3F88F754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02-477C-8A2A-7C3F88F75450}"/>
              </c:ext>
            </c:extLst>
          </c:dPt>
          <c:dLbls>
            <c:dLbl>
              <c:idx val="0"/>
              <c:layout>
                <c:manualLayout>
                  <c:x val="5.8333333333333334E-2"/>
                  <c:y val="-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D02-477C-8A2A-7C3F88F75450}"/>
                </c:ext>
              </c:extLst>
            </c:dLbl>
            <c:dLbl>
              <c:idx val="1"/>
              <c:layout>
                <c:manualLayout>
                  <c:x val="-0.12777777777777782"/>
                  <c:y val="-6.48148148148147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02-477C-8A2A-7C3F88F75450}"/>
                </c:ext>
              </c:extLst>
            </c:dLbl>
            <c:dLbl>
              <c:idx val="2"/>
              <c:layout>
                <c:manualLayout>
                  <c:x val="-6.3888888888888939E-2"/>
                  <c:y val="-7.8703703703703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02-477C-8A2A-7C3F88F75450}"/>
                </c:ext>
              </c:extLst>
            </c:dLbl>
            <c:spPr>
              <a:noFill/>
              <a:ln>
                <a:solidFill>
                  <a:schemeClr val="accent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DIFERENCIAL!$C$3:$C$5</c:f>
              <c:strCache>
                <c:ptCount val="3"/>
                <c:pt idx="0">
                  <c:v>DEMANDA</c:v>
                </c:pt>
                <c:pt idx="1">
                  <c:v>OFERTA</c:v>
                </c:pt>
                <c:pt idx="2">
                  <c:v>DIFERENCIAL</c:v>
                </c:pt>
              </c:strCache>
            </c:strRef>
          </c:cat>
          <c:val>
            <c:numRef>
              <c:f>DIFERENCIAL!$D$3:$D$5</c:f>
              <c:numCache>
                <c:formatCode>General</c:formatCode>
                <c:ptCount val="3"/>
                <c:pt idx="0" formatCode="0">
                  <c:v>2052.6999999999998</c:v>
                </c:pt>
                <c:pt idx="1">
                  <c:v>3920</c:v>
                </c:pt>
                <c:pt idx="2">
                  <c:v>1867.3000000000002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02-477C-8A2A-7C3F88F75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161925</xdr:rowOff>
    </xdr:from>
    <xdr:to>
      <xdr:col>11</xdr:col>
      <xdr:colOff>104775</xdr:colOff>
      <xdr:row>17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ADB8E5A-84C0-619A-7D55-D33B3074CD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rnan Iturrieta Espinoza" refreshedDate="45449.670721180555" createdVersion="8" refreshedVersion="8" minRefreshableVersion="3" recordCount="61" xr:uid="{5B8DD095-7750-4C4A-9E0F-D93E6195DFA1}">
  <cacheSource type="worksheet">
    <worksheetSource ref="A3:P64" sheet="DATA"/>
  </cacheSource>
  <cacheFields count="16">
    <cacheField name="Material" numFmtId="0">
      <sharedItems containsSemiMixedTypes="0" containsString="0" containsNumber="1" containsInteger="1" minValue="7600125" maxValue="7692924"/>
    </cacheField>
    <cacheField name="Descripción Dieta" numFmtId="0">
      <sharedItems/>
    </cacheField>
    <cacheField name="Doc.vtas." numFmtId="0">
      <sharedItems containsSemiMixedTypes="0" containsString="0" containsNumber="1" containsInteger="1" minValue="6012432903" maxValue="6012544658"/>
    </cacheField>
    <cacheField name="CENTRO" numFmtId="0">
      <sharedItems/>
    </cacheField>
    <cacheField name="CALIBRE" numFmtId="0">
      <sharedItems containsSemiMixedTypes="0" containsString="0" containsNumber="1" containsInteger="1" minValue="2" maxValue="12"/>
    </cacheField>
    <cacheField name="PRIMERA FECHA" numFmtId="14">
      <sharedItems containsSemiMixedTypes="0" containsNonDate="0" containsDate="1" containsString="0" minDate="2024-06-07T00:00:00" maxDate="2024-07-09T00:00:00"/>
    </cacheField>
    <cacheField name="FECHA LIMITE PRODUCCION" numFmtId="14">
      <sharedItems containsSemiMixedTypes="0" containsNonDate="0" containsDate="1" containsString="0" minDate="2024-06-03T00:00:00" maxDate="2024-07-05T00:00:00"/>
    </cacheField>
    <cacheField name="CLIENTE" numFmtId="0">
      <sharedItems count="9">
        <s v="RUSIA"/>
        <s v="VTQ"/>
        <s v="MOWI"/>
        <s v="CMQ"/>
        <s v="ATM"/>
        <s v="MEF"/>
        <s v="BEIJING"/>
        <s v="VITAPRO"/>
        <s v="STIM" u="1"/>
      </sharedItems>
    </cacheField>
    <cacheField name="ADELANTO FECHA" numFmtId="0">
      <sharedItems containsString="0" containsBlank="1" containsNumber="1" containsInteger="1" minValue="1" maxValue="6"/>
    </cacheField>
    <cacheField name="Analisis" numFmtId="0">
      <sharedItems containsSemiMixedTypes="0" containsString="0" containsNumber="1" containsInteger="1" minValue="2" maxValue="2"/>
    </cacheField>
    <cacheField name="Adelanto total" numFmtId="0">
      <sharedItems containsSemiMixedTypes="0" containsString="0" containsNumber="1" containsInteger="1" minValue="2" maxValue="8"/>
    </cacheField>
    <cacheField name="Puerto de Salida" numFmtId="0">
      <sharedItems containsBlank="1"/>
    </cacheField>
    <cacheField name="Tipo de Dieta" numFmtId="0">
      <sharedItems count="2">
        <s v="NORMAL"/>
        <s v="MEDICADO"/>
      </sharedItems>
    </cacheField>
    <cacheField name="FORMATO" numFmtId="0">
      <sharedItems/>
    </cacheField>
    <cacheField name="CANTIDAD SELECCIONADA" numFmtId="3">
      <sharedItems containsSemiMixedTypes="0" containsString="0" containsNumber="1" containsInteger="1" minValue="0" maxValue="150000"/>
    </cacheField>
    <cacheField name="CANTIDAD TOTAL" numFmtId="3">
      <sharedItems containsSemiMixedTypes="0" containsString="0" containsNumber="1" containsInteger="1" minValue="1000" maxValue="26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rnan Iturrieta Espinoza" refreshedDate="45449.670773379628" createdVersion="8" refreshedVersion="8" minRefreshableVersion="3" recordCount="61" xr:uid="{AD4C928E-0A9F-4079-886F-A4D5A80F10F7}">
  <cacheSource type="worksheet">
    <worksheetSource ref="A3:Q64" sheet="DATA"/>
  </cacheSource>
  <cacheFields count="17">
    <cacheField name="Material" numFmtId="0">
      <sharedItems containsSemiMixedTypes="0" containsString="0" containsNumber="1" containsInteger="1" minValue="7600125" maxValue="7692924"/>
    </cacheField>
    <cacheField name="Descripción Dieta" numFmtId="0">
      <sharedItems/>
    </cacheField>
    <cacheField name="Doc.vtas." numFmtId="0">
      <sharedItems containsSemiMixedTypes="0" containsString="0" containsNumber="1" containsInteger="1" minValue="6012432903" maxValue="6012544658"/>
    </cacheField>
    <cacheField name="CENTRO" numFmtId="0">
      <sharedItems/>
    </cacheField>
    <cacheField name="CALIBRE" numFmtId="0">
      <sharedItems containsSemiMixedTypes="0" containsString="0" containsNumber="1" containsInteger="1" minValue="2" maxValue="12" count="6">
        <n v="4"/>
        <n v="2"/>
        <n v="3"/>
        <n v="9"/>
        <n v="6"/>
        <n v="12"/>
      </sharedItems>
    </cacheField>
    <cacheField name="PRIMERA FECHA" numFmtId="14">
      <sharedItems containsSemiMixedTypes="0" containsNonDate="0" containsDate="1" containsString="0" minDate="2024-06-07T00:00:00" maxDate="2024-07-09T00:00:00"/>
    </cacheField>
    <cacheField name="FECHA LIMITE PRODUCCION" numFmtId="14">
      <sharedItems containsSemiMixedTypes="0" containsNonDate="0" containsDate="1" containsString="0" minDate="2024-06-03T00:00:00" maxDate="2024-07-05T00:00:00"/>
    </cacheField>
    <cacheField name="CLIENTE" numFmtId="0">
      <sharedItems count="9">
        <s v="RUSIA"/>
        <s v="VTQ"/>
        <s v="MOWI"/>
        <s v="CMQ"/>
        <s v="ATM"/>
        <s v="MEF"/>
        <s v="BEIJING"/>
        <s v="VITAPRO"/>
        <s v="STIM" u="1"/>
      </sharedItems>
    </cacheField>
    <cacheField name="ADELANTO FECHA" numFmtId="0">
      <sharedItems containsString="0" containsBlank="1" containsNumber="1" containsInteger="1" minValue="1" maxValue="6"/>
    </cacheField>
    <cacheField name="Analisis" numFmtId="0">
      <sharedItems containsSemiMixedTypes="0" containsString="0" containsNumber="1" containsInteger="1" minValue="2" maxValue="2"/>
    </cacheField>
    <cacheField name="Adelanto total" numFmtId="0">
      <sharedItems containsSemiMixedTypes="0" containsString="0" containsNumber="1" containsInteger="1" minValue="2" maxValue="8"/>
    </cacheField>
    <cacheField name="Puerto de Salida" numFmtId="0">
      <sharedItems containsBlank="1"/>
    </cacheField>
    <cacheField name="Tipo de Dieta" numFmtId="0">
      <sharedItems/>
    </cacheField>
    <cacheField name="FORMATO" numFmtId="0">
      <sharedItems/>
    </cacheField>
    <cacheField name="CANTIDAD SELECCIONADA" numFmtId="3">
      <sharedItems containsSemiMixedTypes="0" containsString="0" containsNumber="1" containsInteger="1" minValue="0" maxValue="150000"/>
    </cacheField>
    <cacheField name="CANTIDAD TOTAL" numFmtId="3">
      <sharedItems containsSemiMixedTypes="0" containsString="0" containsNumber="1" containsInteger="1" minValue="1000" maxValue="260000"/>
    </cacheField>
    <cacheField name="03-06-2024" numFmtId="0">
      <sharedItems containsString="0" containsBlank="1" containsNumber="1" containsInteger="1" minValue="11250" maxValue="11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n v="7692883"/>
    <s v="(-)(N)(B)(24)(42)//LEMUY 250 EXP, ASTAXANTINA 10% 80,000 PPM"/>
    <n v="6012432903"/>
    <s v="LLC &quot;SALTRA&quot;"/>
    <n v="4"/>
    <d v="2024-06-27T00:00:00"/>
    <d v="2024-06-25T00:00:00"/>
    <x v="0"/>
    <m/>
    <n v="2"/>
    <n v="2"/>
    <m/>
    <x v="0"/>
    <s v="BOLSA 25 KILOS"/>
    <n v="0"/>
    <n v="104000"/>
  </r>
  <r>
    <n v="7692887"/>
    <s v="(-)(N)(B)(20)(44)//TR-2242-02 EXP"/>
    <n v="6012433361"/>
    <s v="LLC &quot;SALTRA&quot;"/>
    <n v="2"/>
    <d v="2024-06-27T00:00:00"/>
    <d v="2024-06-25T00:00:00"/>
    <x v="0"/>
    <m/>
    <n v="2"/>
    <n v="2"/>
    <m/>
    <x v="0"/>
    <s v="BOLSA 25 KILOS"/>
    <n v="0"/>
    <n v="26000"/>
  </r>
  <r>
    <n v="7692888"/>
    <s v="(-)(N)(B)(20)(44)//TR-2242-03 EXP"/>
    <n v="6012433458"/>
    <s v="LLC &quot;SALTRA&quot;"/>
    <n v="3"/>
    <d v="2024-06-27T00:00:00"/>
    <d v="2024-06-25T00:00:00"/>
    <x v="0"/>
    <m/>
    <n v="2"/>
    <n v="2"/>
    <m/>
    <x v="0"/>
    <s v="BOLSA 25 KILOS"/>
    <n v="0"/>
    <n v="52000"/>
  </r>
  <r>
    <n v="7692885"/>
    <s v="(-)(N)(B)(24)(39,5)//LEMUY 1000 EXP, ASTAXANTINA 10% 80,000 PPM"/>
    <n v="6012433635"/>
    <s v="LLC &quot;SALTRA&quot;"/>
    <n v="9"/>
    <d v="2024-06-27T00:00:00"/>
    <d v="2024-06-25T00:00:00"/>
    <x v="0"/>
    <m/>
    <n v="2"/>
    <n v="2"/>
    <m/>
    <x v="0"/>
    <s v="BOLSA 25 KILOS"/>
    <n v="0"/>
    <n v="180000"/>
  </r>
  <r>
    <n v="7692879"/>
    <s v="(-)(N)(M)(26)(43)//EXPLORADOR 500, ASTAXANTINA 10% 100,000 PPM"/>
    <n v="6012433792"/>
    <s v="LLC &quot;SALTRA&quot;"/>
    <n v="6"/>
    <d v="2024-06-27T00:00:00"/>
    <d v="2024-06-25T00:00:00"/>
    <x v="0"/>
    <m/>
    <n v="2"/>
    <n v="2"/>
    <m/>
    <x v="0"/>
    <s v="MAXISACO 1250 KILOS"/>
    <n v="0"/>
    <n v="1000"/>
  </r>
  <r>
    <n v="7692884"/>
    <s v="(-)(N)(B)(24)(39,5)//LEMUY 500 EXP, ASTAXANTINA 10% 80,000 PPM"/>
    <n v="6012433815"/>
    <s v="LLC &quot;SALTRA&quot;"/>
    <n v="6"/>
    <d v="2024-06-27T00:00:00"/>
    <d v="2024-06-25T00:00:00"/>
    <x v="0"/>
    <m/>
    <n v="2"/>
    <n v="2"/>
    <m/>
    <x v="0"/>
    <s v="BOLSA 25 KILOS"/>
    <n v="0"/>
    <n v="260000"/>
  </r>
  <r>
    <n v="7692880"/>
    <s v="(-)(N)(M)(27)(37)//EXPLORADOR 1000, ASTAXANTINA 10% 100,000 PPM"/>
    <n v="6012433828"/>
    <s v="LLC &quot;SALTRA&quot;"/>
    <n v="9"/>
    <d v="2024-06-27T00:00:00"/>
    <d v="2024-06-25T00:00:00"/>
    <x v="0"/>
    <m/>
    <n v="2"/>
    <n v="2"/>
    <m/>
    <x v="0"/>
    <s v="MAXISACO 1250 KILOS"/>
    <n v="0"/>
    <n v="1000"/>
  </r>
  <r>
    <n v="7600154"/>
    <s v="(X-PP)(N)(M)(39,5)(37)//EXPLORADOR XG 3000 -VTQ, ASTAXANTINA 10% 80,000 PPM, L-END 1,000 KGT, PAQ - XTRACT 1,500 KGT"/>
    <n v="6012448025"/>
    <s v="PROD.VENTISQUEROS-PITIHORNO SUR"/>
    <n v="12"/>
    <d v="2024-06-19T00:00:00"/>
    <d v="2024-06-14T00:00:00"/>
    <x v="1"/>
    <n v="3"/>
    <n v="2"/>
    <n v="5"/>
    <s v="CASTRO"/>
    <x v="0"/>
    <s v="MAXISACO 1250 KILOS"/>
    <n v="17500"/>
    <n v="17500"/>
  </r>
  <r>
    <n v="7622071"/>
    <s v="(-)(N)(M)(39,5)(36,5)//EXPLORADOR XG 3000, ASTAXANTINA 10% 70,000 PPM"/>
    <n v="6012487213"/>
    <s v="MOWI CHILE-LLINGUA"/>
    <n v="12"/>
    <d v="2024-06-27T00:00:00"/>
    <d v="2024-06-23T00:00:00"/>
    <x v="2"/>
    <n v="2"/>
    <n v="2"/>
    <n v="4"/>
    <s v="CASTRO"/>
    <x v="0"/>
    <s v="MAXISACO 1250 KILOS"/>
    <n v="0"/>
    <n v="3750"/>
  </r>
  <r>
    <n v="7692552"/>
    <s v="(X-PP)(N)(M)(38,5)(37,5)//EXPLORADOR XG (N3+) 2009, ASTAXANTINA 10% 60,000 PPM, PREMIX CQ 1,000 PKT"/>
    <n v="6012500183"/>
    <s v="CERMAQ-DUCAÑAS"/>
    <n v="9"/>
    <d v="2024-06-20T00:00:00"/>
    <d v="2024-06-16T00:00:00"/>
    <x v="3"/>
    <n v="2"/>
    <n v="2"/>
    <n v="4"/>
    <s v="CASTRO"/>
    <x v="0"/>
    <s v="MAXISACO 1250 KILOS"/>
    <n v="60000"/>
    <n v="120000"/>
  </r>
  <r>
    <n v="7692552"/>
    <s v="(X-PP)(N)(M)(38,5)(37,5)//EXPLORADOR XG (N3+) 2009, ASTAXANTINA 10% 60,000 PPM, C3 - COS 2,500 KGT"/>
    <n v="6012500180"/>
    <s v="CERMAQ-CALEN 2"/>
    <n v="9"/>
    <d v="2024-06-26T00:00:00"/>
    <d v="2024-06-22T00:00:00"/>
    <x v="3"/>
    <n v="2"/>
    <n v="2"/>
    <n v="4"/>
    <s v="CASTRO"/>
    <x v="0"/>
    <s v="MAXISACO 1250 KILOS"/>
    <n v="0"/>
    <n v="86250"/>
  </r>
  <r>
    <n v="7692552"/>
    <s v="(X-PP)(N)(M)(38,5)(37,5)//EXPLORADOR XG (N3+) 2009, ASTAXANTINA 10% 60,000 PPM, C3 - COS 2,500 KGT"/>
    <n v="6012500181"/>
    <s v="CERMAQ-CALEN 2"/>
    <n v="9"/>
    <d v="2024-06-19T00:00:00"/>
    <d v="2024-06-15T00:00:00"/>
    <x v="3"/>
    <n v="2"/>
    <n v="2"/>
    <n v="4"/>
    <s v="CASTRO"/>
    <x v="0"/>
    <s v="MAXISACO 1250 KILOS"/>
    <n v="100000"/>
    <n v="150000"/>
  </r>
  <r>
    <n v="7692557"/>
    <s v="(XI-PP)(N)(M)(34)(41,5)//EXPLORADOR XG 500, ASTAXANTINA 10% 90,000 PPM"/>
    <n v="6012499558"/>
    <s v="AUSTRALIS-HUMOS 3"/>
    <n v="6"/>
    <d v="2024-06-15T00:00:00"/>
    <d v="2024-06-07T00:00:00"/>
    <x v="4"/>
    <n v="6"/>
    <n v="2"/>
    <n v="8"/>
    <s v="QUELLON"/>
    <x v="0"/>
    <s v="MAXISACO 1250 KILOS"/>
    <n v="1250"/>
    <n v="1250"/>
  </r>
  <r>
    <n v="7692560"/>
    <s v="(XI-PP)(N)(M)(39,5)(37)//EXPLORADOR XG 3000, ASTAXANTINA 10% 90,000 PPM"/>
    <n v="6012499557"/>
    <s v="AUSTRALIS-HUMOS 3"/>
    <n v="12"/>
    <d v="2024-06-20T00:00:00"/>
    <d v="2024-06-12T00:00:00"/>
    <x v="4"/>
    <n v="6"/>
    <n v="2"/>
    <n v="8"/>
    <s v="QUELLON"/>
    <x v="0"/>
    <s v="MAXISACO 1250 KILOS"/>
    <n v="90000"/>
    <n v="130000"/>
  </r>
  <r>
    <n v="7692560"/>
    <s v="(XI-PP)(N)(M)(39,5)(37)//EXPLORADOR XG 3000, ASTAXANTINA 10% 90,000 PPM"/>
    <n v="6012499976"/>
    <s v="AUSTRALIS-MELCHOR 4"/>
    <n v="12"/>
    <d v="2024-06-24T00:00:00"/>
    <d v="2024-06-16T00:00:00"/>
    <x v="4"/>
    <n v="6"/>
    <n v="2"/>
    <n v="8"/>
    <s v="QUELLON"/>
    <x v="0"/>
    <s v="MAXISACO 1250 KILOS"/>
    <n v="75000"/>
    <n v="75000"/>
  </r>
  <r>
    <n v="7692588"/>
    <s v="(XI-PP)(N)(M)(38,5)(37,5)//EXPLORADOR XG 2009, ASTAXANTINA 10% 90,000 PPM"/>
    <n v="6012499777"/>
    <s v="AUSTRALIS-HUMOS 5"/>
    <n v="9"/>
    <d v="2024-06-22T00:00:00"/>
    <d v="2024-06-14T00:00:00"/>
    <x v="4"/>
    <n v="6"/>
    <n v="2"/>
    <n v="8"/>
    <s v="QUELLON"/>
    <x v="0"/>
    <s v="MAXISACO 1250 KILOS"/>
    <n v="20000"/>
    <n v="110000"/>
  </r>
  <r>
    <n v="7692588"/>
    <s v="(XI-PP)(N)(M)(38,5)(37,5)//EXPLORADOR XG 2009, ASTAXANTINA 10% 90,000 PPM"/>
    <n v="6012499815"/>
    <s v="AUSTRALIS-HUMOS 3"/>
    <n v="9"/>
    <d v="2024-06-20T00:00:00"/>
    <d v="2024-06-12T00:00:00"/>
    <x v="4"/>
    <n v="6"/>
    <n v="2"/>
    <n v="8"/>
    <s v="QUELLON"/>
    <x v="0"/>
    <s v="MAXISACO 1250 KILOS"/>
    <n v="13750"/>
    <n v="43750"/>
  </r>
  <r>
    <n v="7692794"/>
    <s v="(X-SPOT)(N)(M)(37)(38)//EXPLORADOR XG 2500 (9) - MULTIX, ASTAXANTINA 10% 60,000 PPM"/>
    <n v="6012506029"/>
    <s v="MULTIEXPORT-LLAGUEPE"/>
    <n v="9"/>
    <d v="2024-06-27T00:00:00"/>
    <d v="2024-06-24T00:00:00"/>
    <x v="5"/>
    <n v="1"/>
    <n v="2"/>
    <n v="3"/>
    <s v="CONTINENTE"/>
    <x v="0"/>
    <s v="MAXISACO 1250 KILOS"/>
    <n v="0"/>
    <n v="45000"/>
  </r>
  <r>
    <n v="7692794"/>
    <s v="(XI-TERRESTRE)(N)(M)(37)(38)//EXPLORADOR XG 2500 (9) - MULTIX, ASTAXANTINA 10% 60,000 PPM"/>
    <n v="6012505051"/>
    <s v="MULTIEXPORT-IZAZA"/>
    <n v="9"/>
    <d v="2024-06-18T00:00:00"/>
    <d v="2024-06-15T00:00:00"/>
    <x v="5"/>
    <n v="1"/>
    <n v="2"/>
    <n v="3"/>
    <s v="CONTINENTE"/>
    <x v="0"/>
    <s v="MAXISACO 1250 KILOS"/>
    <n v="55000"/>
    <n v="110000"/>
  </r>
  <r>
    <n v="7692793"/>
    <s v="(XI-TERRESTRE)(N)(M)(36)(38)//EXPLORADOR XG 1000 - MULTIX, ASTAXANTINA 10% 60,000 PPM"/>
    <n v="6012505057"/>
    <s v="MULTIEXPORT-IZAZA"/>
    <n v="9"/>
    <d v="2024-06-24T00:00:00"/>
    <d v="2024-06-21T00:00:00"/>
    <x v="5"/>
    <n v="1"/>
    <n v="2"/>
    <n v="3"/>
    <s v="CONTINENTE"/>
    <x v="0"/>
    <s v="MAXISACO 1250 KILOS"/>
    <n v="0"/>
    <n v="110000"/>
  </r>
  <r>
    <n v="7692793"/>
    <s v="(XI-TERRESTRE)(N)(M)(36)(38)//EXPLORADOR XG 1000 - MULTIX, ASTAXANTINA 10% 60,000 PPM"/>
    <n v="6012506020"/>
    <s v="MULTIEXPORT-IZAZA"/>
    <n v="9"/>
    <d v="2024-06-18T00:00:00"/>
    <d v="2024-06-15T00:00:00"/>
    <x v="5"/>
    <n v="1"/>
    <n v="2"/>
    <n v="3"/>
    <s v="CONTINENTE"/>
    <x v="0"/>
    <s v="MAXISACO 1250 KILOS"/>
    <n v="36250"/>
    <n v="91250"/>
  </r>
  <r>
    <n v="7692795"/>
    <s v="(X-SPOT)(N)(M)(37)(38)//EXPLORADOR XG 4000 (9) - MULTIX, ASTAXANTINA 10% 60,000 PPM"/>
    <n v="6012505975"/>
    <s v="MULTIEXPORT-LLAGUEPE"/>
    <n v="9"/>
    <d v="2024-06-21T00:00:00"/>
    <d v="2024-06-18T00:00:00"/>
    <x v="5"/>
    <n v="1"/>
    <n v="2"/>
    <n v="3"/>
    <s v="CONTINENTE"/>
    <x v="0"/>
    <s v="MAXISACO 1250 KILOS"/>
    <n v="82500"/>
    <n v="137500"/>
  </r>
  <r>
    <n v="7692795"/>
    <s v="(XI-SPOT)(N)(M)(37)(38)//EXPLORADOR XG 4000 (9) - MULTIX, ASTAXANTINA 10% 60,000 PPM"/>
    <n v="6012505426"/>
    <s v="MULTIEXPORT-CHAPARANO"/>
    <n v="9"/>
    <d v="2024-06-16T00:00:00"/>
    <d v="2024-06-13T00:00:00"/>
    <x v="5"/>
    <n v="1"/>
    <n v="2"/>
    <n v="3"/>
    <s v="CONTINENTE"/>
    <x v="0"/>
    <s v="MAXISACO 1250 KILOS"/>
    <n v="82500"/>
    <n v="82500"/>
  </r>
  <r>
    <n v="7692795"/>
    <s v="(XI-SPOT)(N)(M)(37)(38)//EXPLORADOR XG 4000 (9) - MULTIX, ASTAXANTINA 10% 60,000 PPM"/>
    <n v="6012505427"/>
    <s v="MULTIEXPORT-CHAPARANO"/>
    <n v="9"/>
    <d v="2024-06-18T00:00:00"/>
    <d v="2024-06-15T00:00:00"/>
    <x v="5"/>
    <n v="1"/>
    <n v="2"/>
    <n v="3"/>
    <s v="CONTINENTE"/>
    <x v="0"/>
    <s v="MAXISACO 1250 KILOS"/>
    <n v="82500"/>
    <n v="247500"/>
  </r>
  <r>
    <n v="7692795"/>
    <s v="(XI-SPOT)(N)(M)(37)(38)//EXPLORADOR XG 4000 (9) - MULTIX, ASTAXANTINA 10% 60,000 PPM"/>
    <n v="6012505770"/>
    <s v="MULTIEXPORT-CHAPARANO"/>
    <n v="9"/>
    <d v="2024-06-20T00:00:00"/>
    <d v="2024-06-17T00:00:00"/>
    <x v="5"/>
    <n v="1"/>
    <n v="2"/>
    <n v="3"/>
    <s v="CONTINENTE"/>
    <x v="0"/>
    <s v="MAXISACO 1250 KILOS"/>
    <n v="82500"/>
    <n v="220000"/>
  </r>
  <r>
    <n v="7692731"/>
    <s v="(-)(N)(M)(27,5)(47,5)//TRANSFER XG (N3+) 100 - CQ, ASTAXANTINA 10% 80,000 PPM, C3 - COS 2,500 KGT"/>
    <n v="6012500733"/>
    <s v="CERMAQ-TRANQUI 1"/>
    <n v="4"/>
    <d v="2024-06-18T00:00:00"/>
    <d v="2024-06-14T00:00:00"/>
    <x v="3"/>
    <n v="2"/>
    <n v="2"/>
    <n v="4"/>
    <s v="CASTRO"/>
    <x v="0"/>
    <s v="MAXISACO 1250 KILOS"/>
    <n v="2500"/>
    <n v="17500"/>
  </r>
  <r>
    <n v="7600125"/>
    <s v="(X-PP)(N)(M)(30)(39)//EXPLORADOR AE 500-VTQ, ASTAXANTINA 10% 80,000 PPM, L-END 1,000 KGT"/>
    <n v="6012506320"/>
    <s v="PROD.VENTISQUEROS-ICA"/>
    <n v="6"/>
    <d v="2024-06-24T00:00:00"/>
    <d v="2024-06-19T00:00:00"/>
    <x v="1"/>
    <n v="3"/>
    <n v="2"/>
    <n v="5"/>
    <s v="CASTRO"/>
    <x v="0"/>
    <s v="MAXISACO 1250 KILOS"/>
    <n v="0"/>
    <n v="113750"/>
  </r>
  <r>
    <n v="7600154"/>
    <s v="(X-PP)(N)(M)(39,5)(37)//EXPLORADOR XG 3000 -VTQ, ASTAXANTINA 10% 80,000 PPM, L-END 1,000 KGT, PAQ - XTRACT 1,500 KGT"/>
    <n v="6012506417"/>
    <s v="PROD.VENTISQUEROS-PITIHORNO SUR"/>
    <n v="12"/>
    <d v="2024-06-29T00:00:00"/>
    <d v="2024-06-24T00:00:00"/>
    <x v="1"/>
    <n v="3"/>
    <n v="2"/>
    <n v="5"/>
    <s v="CASTRO"/>
    <x v="0"/>
    <s v="MAXISACO 1250 KILOS"/>
    <n v="0"/>
    <n v="50000"/>
  </r>
  <r>
    <n v="7600154"/>
    <s v="(X-PP)(N)(M)(39,5)(37)//EXPLORADOR XG 3000 -VTQ, ASTAXANTINA 10% 80,000 PPM, L-END 1,000 KGT, PAQ - XTRACT 1,500 KGT"/>
    <n v="6012506528"/>
    <s v="PROD.VENTISQUEROS-PITIHORNO SUR"/>
    <n v="12"/>
    <d v="2024-06-24T00:00:00"/>
    <d v="2024-06-19T00:00:00"/>
    <x v="1"/>
    <n v="3"/>
    <n v="2"/>
    <n v="5"/>
    <s v="CASTRO"/>
    <x v="0"/>
    <s v="MAXISACO 1250 KILOS"/>
    <n v="0"/>
    <n v="60000"/>
  </r>
  <r>
    <n v="7600154"/>
    <s v="(X-PP)(N)(M)(39,5)(37)//EXPLORADOR XG 3000 -VTQ, ASTAXANTINA 10% 80,000 PPM, Extra n3 EPA+DHA (USD/+0,5% incl) 4,000 PKT, L-END 1,000 KGT, PAQ - XTRACT 1,500 KGT"/>
    <n v="6012506418"/>
    <s v="PROD.VENTISQUEROS-PITIHORNO SUR"/>
    <n v="12"/>
    <d v="2024-06-28T00:00:00"/>
    <d v="2024-06-23T00:00:00"/>
    <x v="1"/>
    <n v="3"/>
    <n v="2"/>
    <n v="5"/>
    <s v="CASTRO"/>
    <x v="0"/>
    <s v="MAXISACO 1250 KILOS"/>
    <n v="0"/>
    <n v="80000"/>
  </r>
  <r>
    <n v="7692793"/>
    <s v="(-)(N)(M)(36)(38)//EXPLORADOR XG 1000 - MULTIX, ASTAXANTINA 10% 60,000 PPM"/>
    <n v="6012505647"/>
    <s v="MULTIEXPORT-ROWLET"/>
    <n v="9"/>
    <d v="2024-06-17T00:00:00"/>
    <d v="2024-06-14T00:00:00"/>
    <x v="5"/>
    <n v="1"/>
    <n v="2"/>
    <n v="3"/>
    <s v="CONTINENTE"/>
    <x v="0"/>
    <s v="MAXISACO 1250 KILOS"/>
    <n v="81250"/>
    <n v="81250"/>
  </r>
  <r>
    <n v="7692793"/>
    <s v="(-)(N)(M)(36)(38)//EXPLORADOR XG 1000 - MULTIX, ASTAXANTINA 10% 60,000 PPM"/>
    <n v="6012505977"/>
    <s v="MULTIEXPORT-ROWLET"/>
    <n v="9"/>
    <d v="2024-06-25T00:00:00"/>
    <d v="2024-06-22T00:00:00"/>
    <x v="5"/>
    <n v="1"/>
    <n v="2"/>
    <n v="3"/>
    <s v="CONTINENTE"/>
    <x v="0"/>
    <s v="MAXISACO 1250 KILOS"/>
    <n v="0"/>
    <n v="107500"/>
  </r>
  <r>
    <n v="7622071"/>
    <s v="(-)(N)(M)(39,5)(36,5)//EXPLORADOR XG 3000, ASTAXANTINA 10% 70,000 PPM, SKIN PACK MOWI 1,000 PKT"/>
    <n v="6012507720"/>
    <s v="MOWI CHILE-PALQUI"/>
    <n v="12"/>
    <d v="2024-06-19T00:00:00"/>
    <d v="2024-06-15T00:00:00"/>
    <x v="2"/>
    <n v="2"/>
    <n v="2"/>
    <n v="4"/>
    <s v="CASTRO"/>
    <x v="0"/>
    <s v="MAXISACO 1250 KILOS"/>
    <n v="60000"/>
    <n v="175000"/>
  </r>
  <r>
    <n v="7600152"/>
    <s v="(-)(N)(M)(36)(39)//EXPLORADOR XG 1000-VTQ, ASTAXANTINA 10% 80,000 PPM"/>
    <n v="6012507174"/>
    <s v="PROD.VENTISQ-NORTE ISLA FRANCISCO"/>
    <n v="9"/>
    <d v="2024-06-25T00:00:00"/>
    <d v="2024-06-17T00:00:00"/>
    <x v="1"/>
    <n v="6"/>
    <n v="2"/>
    <n v="8"/>
    <s v="QUELLON"/>
    <x v="0"/>
    <s v="MAXISACO 1250 KILOS"/>
    <n v="150000"/>
    <n v="150000"/>
  </r>
  <r>
    <n v="7692912"/>
    <s v="(-)(N)(B)(0)(0)//TRANSFER SALAR XG100- MW, ASTAXANTINA 10% 80,000 PPM"/>
    <n v="6012513746"/>
    <s v="MOWI CHILE-BAJO LA BARRA"/>
    <n v="4"/>
    <d v="2024-06-17T00:00:00"/>
    <d v="2024-06-13T00:00:00"/>
    <x v="2"/>
    <n v="2"/>
    <n v="2"/>
    <n v="4"/>
    <s v="CASTRO"/>
    <x v="0"/>
    <s v="BOLSA 25 KILOS"/>
    <n v="6450"/>
    <n v="41450"/>
  </r>
  <r>
    <n v="7692912"/>
    <s v="(-)(N)(B)(0)(0)//TRANSFER SALAR XG100- MW, ASTAXANTINA 10% 80,000 PPM"/>
    <n v="6012514363"/>
    <s v="MOWI CHILE-BAJO LA BARRA"/>
    <n v="4"/>
    <d v="2024-07-08T00:00:00"/>
    <d v="2024-07-04T00:00:00"/>
    <x v="2"/>
    <n v="2"/>
    <n v="2"/>
    <n v="4"/>
    <s v="CASTRO"/>
    <x v="0"/>
    <s v="BOLSA 25 KILOS"/>
    <n v="0"/>
    <n v="65000"/>
  </r>
  <r>
    <n v="7692912"/>
    <s v="(-)(N)(M)(0)(0)//TRANSFER SALAR XG100- MW, ASTAXANTINA 10% 80,000 PPM"/>
    <n v="6012513744"/>
    <s v="MOWI CHILE-BAJO LA BARRA"/>
    <n v="4"/>
    <d v="2024-07-08T00:00:00"/>
    <d v="2024-07-04T00:00:00"/>
    <x v="2"/>
    <n v="2"/>
    <n v="2"/>
    <n v="4"/>
    <s v="CASTRO"/>
    <x v="0"/>
    <s v="MAXISACO 1250 KILOS"/>
    <n v="0"/>
    <n v="5000"/>
  </r>
  <r>
    <n v="7692798"/>
    <s v="(-)(N)(M)(34,5)(35,5)//SFM AE 2500 (9) - MULTIX, ASTAXANTINA 10% 60,000 PPM, ATEFLOR 50% (FLORFENICOL) 5,000 KGT"/>
    <n v="6012519405"/>
    <s v="MULTI X S.A."/>
    <n v="9"/>
    <d v="2024-06-13T00:00:00"/>
    <d v="2024-06-10T00:00:00"/>
    <x v="5"/>
    <n v="1"/>
    <n v="2"/>
    <n v="3"/>
    <s v="CONTINENTE"/>
    <x v="1"/>
    <s v="MAXISACO 1250 KILOS"/>
    <n v="125000"/>
    <n v="125000"/>
  </r>
  <r>
    <n v="7622071"/>
    <s v="(-)(N)(M)(39,5)(36,5)//EXPLORADOR XG 3000, ASTAXANTINA 10% 70,000 PPM"/>
    <n v="6012518378"/>
    <s v="MOWI CHILE-LLINGUA"/>
    <n v="12"/>
    <d v="2024-07-02T00:00:00"/>
    <d v="2024-06-28T00:00:00"/>
    <x v="2"/>
    <n v="2"/>
    <n v="2"/>
    <n v="4"/>
    <s v="CASTRO"/>
    <x v="0"/>
    <s v="MAXISACO 1250 KILOS"/>
    <n v="0"/>
    <n v="180000"/>
  </r>
  <r>
    <n v="7600128"/>
    <s v="(X-PP)(N)(M)(37)(35)//EXPLORADOR AE 3000-VTQ, ASTAXANTINA 10% 80,000 PPM, L-END 1,000 KGT, C3 - COS 2,500 KGT"/>
    <n v="6012519069"/>
    <s v="PROD.VENTISQUEROS-MORROLOBOS"/>
    <n v="12"/>
    <d v="2024-06-20T00:00:00"/>
    <d v="2024-06-16T00:00:00"/>
    <x v="1"/>
    <n v="2"/>
    <n v="2"/>
    <n v="4"/>
    <s v="CASTRO"/>
    <x v="0"/>
    <s v="MAXISACO 1250 KILOS"/>
    <n v="150000"/>
    <n v="150000"/>
  </r>
  <r>
    <n v="7600128"/>
    <s v="(X-PP)(N)(M)(37)(35)//EXPLORADOR AE 3000-VTQ, ASTAXANTINA 10% 80,000 PPM, L-END 1,000 KGT, C3 - COS 2,500 KGT"/>
    <n v="6012519074"/>
    <s v="PROD.VENTISQUEROS-MORROLOBOS"/>
    <n v="12"/>
    <d v="2024-06-26T00:00:00"/>
    <d v="2024-06-22T00:00:00"/>
    <x v="1"/>
    <n v="2"/>
    <n v="2"/>
    <n v="4"/>
    <s v="CASTRO"/>
    <x v="0"/>
    <s v="MAXISACO 1250 KILOS"/>
    <n v="0"/>
    <n v="150000"/>
  </r>
  <r>
    <n v="7692794"/>
    <s v="(XI-TERRESTRE)(N)(M)(37)(38)//EXPLORADOR XG 2500 (9) - MULTIX, ASTAXANTINA 10% 80,000 PPM"/>
    <n v="6012523034"/>
    <s v="MULTIEXPORT-CHALACAYEC"/>
    <n v="9"/>
    <d v="2024-06-20T00:00:00"/>
    <d v="2024-06-17T00:00:00"/>
    <x v="5"/>
    <n v="1"/>
    <n v="2"/>
    <n v="3"/>
    <s v="CONTINENTE"/>
    <x v="0"/>
    <s v="MAXISACO 1250 KILOS"/>
    <n v="51250"/>
    <n v="51250"/>
  </r>
  <r>
    <n v="7692782"/>
    <s v="(-)(N)(M)(36)(39)//EXPLORADOR XG 1000 - MW, ASTAXANTINA 10% 80,000 PPM"/>
    <n v="6012523665"/>
    <s v="MOWI CHILE-PUNTA APIAO"/>
    <n v="9"/>
    <d v="2024-06-14T00:00:00"/>
    <d v="2024-06-10T00:00:00"/>
    <x v="2"/>
    <n v="2"/>
    <n v="2"/>
    <n v="4"/>
    <s v="CASTRO"/>
    <x v="0"/>
    <s v="MAXISACO 1250 KILOS"/>
    <n v="6250"/>
    <n v="6250"/>
  </r>
  <r>
    <n v="7692598"/>
    <s v="(X-PP)(N)(M)(38)(37,5)//SFM XG 2000, ASTAXANTINA 10% 80,000 PPM, L-END 1,000 KGT, PAQ - XTRACT 1,500 KGT, VETERIN 80% Florfenicol - Centrovet 3,700 KGT"/>
    <n v="6012519599"/>
    <s v="PROD.VENTISQUEROS-PITIHORNO SUR"/>
    <n v="12"/>
    <d v="2024-06-11T00:00:00"/>
    <d v="2024-06-06T00:00:00"/>
    <x v="1"/>
    <n v="3"/>
    <n v="2"/>
    <n v="5"/>
    <s v="CASTRO"/>
    <x v="1"/>
    <s v="MAXISACO 1250 KILOS"/>
    <n v="22500"/>
    <n v="22500"/>
  </r>
  <r>
    <n v="7692598"/>
    <s v="(X-PP)(N)(M)(38)(37,5)//SFM XG 2000, ASTAXANTINA 10% 80,000 PPM, L-END 1,000 KGT, PAQ - XTRACT 1,500 KGT, VETERIN 80% Florfenicol - Centrovet 3,200 KGT"/>
    <n v="6012519600"/>
    <s v="PROD.VENTISQUEROS-PITIHORNO SUR"/>
    <n v="12"/>
    <d v="2024-06-11T00:00:00"/>
    <d v="2024-06-06T00:00:00"/>
    <x v="1"/>
    <n v="3"/>
    <n v="2"/>
    <n v="5"/>
    <s v="CASTRO"/>
    <x v="1"/>
    <s v="MAXISACO 1250 KILOS"/>
    <n v="76250"/>
    <n v="76250"/>
  </r>
  <r>
    <n v="7692561"/>
    <s v="(XI-PP)(N)(M)(26)(46)//SFM AE 100, ASTAXANTINA 10% 90,000 PPM, QUINAFISH (B EMAMECTINA) 3,200 KGT"/>
    <n v="6012525541"/>
    <s v="AUSTRALIS-MORALEDA"/>
    <n v="4"/>
    <d v="2024-06-11T00:00:00"/>
    <d v="2024-06-03T00:00:00"/>
    <x v="4"/>
    <n v="6"/>
    <n v="2"/>
    <n v="8"/>
    <s v="QUELLON"/>
    <x v="1"/>
    <s v="MAXISACO 1250 KILOS"/>
    <n v="11250"/>
    <n v="11250"/>
  </r>
  <r>
    <n v="7692563"/>
    <s v="(XI-PP)(N)(M)(30)(42)//SFM AE 500, ASTAXANTINA 10% 90,000 PPM, QUINAFISH (B EMAMECTINA) 3,200 KGT"/>
    <n v="6012525944"/>
    <s v="AUSTRALIS-MORALEDA"/>
    <n v="6"/>
    <d v="2024-06-11T00:00:00"/>
    <d v="2024-06-03T00:00:00"/>
    <x v="4"/>
    <n v="6"/>
    <n v="2"/>
    <n v="8"/>
    <s v="QUELLON"/>
    <x v="1"/>
    <s v="MAXISACO 1250 KILOS"/>
    <n v="33750"/>
    <n v="33750"/>
  </r>
  <r>
    <n v="7692782"/>
    <s v="(-)(N)(M)(36)(39)//EXPLORADOR XG 1000 - MW, ASTAXANTINA 10% 80,000 PPM, SKIN PACK MOWI 1,000 PKT, PAQ - XTRACT 1,500 KGT"/>
    <n v="6012531204"/>
    <s v="MOWI CHILE-PUNTA APIAO"/>
    <n v="9"/>
    <d v="2024-06-18T00:00:00"/>
    <d v="2024-06-14T00:00:00"/>
    <x v="2"/>
    <n v="2"/>
    <n v="2"/>
    <n v="4"/>
    <s v="CASTRO"/>
    <x v="0"/>
    <s v="MAXISACO 1250 KILOS"/>
    <n v="26250"/>
    <n v="136250"/>
  </r>
  <r>
    <n v="7692782"/>
    <s v="(-)(N)(M)(36)(39)//EXPLORADOR XG 1000 - MW, ASTAXANTINA 10% 80,000 PPM, SKIN PACK MOWI 1,000 PKT, PAQ - XTRACT 1,500 KGT"/>
    <n v="6012531936"/>
    <s v="MOWI CHILE-PUNTA APIAO"/>
    <n v="9"/>
    <d v="2024-07-06T00:00:00"/>
    <d v="2024-07-02T00:00:00"/>
    <x v="2"/>
    <n v="2"/>
    <n v="2"/>
    <n v="4"/>
    <s v="CASTRO"/>
    <x v="0"/>
    <s v="MAXISACO 1250 KILOS"/>
    <n v="0"/>
    <n v="110000"/>
  </r>
  <r>
    <n v="7692924"/>
    <s v="(X-TERRESTRE)(N)(M)(38)(37,5)//SFM XG 2000 - MW, ASTAXANTINA 10% 80,000 PPM, VETERIN 80% Florfenicol - Centrovet 3,500 KGT"/>
    <n v="6012529023"/>
    <s v="MOWI CHILE S.A."/>
    <n v="12"/>
    <d v="2024-06-07T00:00:00"/>
    <d v="2024-06-03T00:00:00"/>
    <x v="2"/>
    <n v="2"/>
    <n v="2"/>
    <n v="4"/>
    <s v="CASTRO"/>
    <x v="1"/>
    <s v="MAXISACO 1250 KILOS"/>
    <n v="115000"/>
    <n v="115000"/>
  </r>
  <r>
    <n v="7662013"/>
    <s v="(0-0)(N)(B)(22)(42)//TR-2242-06"/>
    <n v="6012536782"/>
    <s v="BEIJING BIO-TECH CO. LTD"/>
    <n v="6"/>
    <d v="2024-06-19T00:00:00"/>
    <d v="2024-06-17T00:00:00"/>
    <x v="6"/>
    <m/>
    <n v="2"/>
    <n v="2"/>
    <m/>
    <x v="0"/>
    <s v="BOLSA 25 KILOS"/>
    <n v="46000"/>
    <n v="46000"/>
  </r>
  <r>
    <n v="7662014"/>
    <s v="(0-0)(N)(B)(22)(42)//TR-2242-09"/>
    <n v="6012537930"/>
    <s v="BEIJING BIO-TECH CO. LTD"/>
    <n v="9"/>
    <d v="2024-06-19T00:00:00"/>
    <d v="2024-06-17T00:00:00"/>
    <x v="6"/>
    <m/>
    <n v="2"/>
    <n v="2"/>
    <m/>
    <x v="0"/>
    <s v="BOLSA 25 KILOS"/>
    <n v="78000"/>
    <n v="78000"/>
  </r>
  <r>
    <n v="7662011"/>
    <s v="(0-0)(N)(B)(20)(44)//TR-2242-03"/>
    <n v="6012537985"/>
    <s v="BEIJING BIO-TECH CO. LTD"/>
    <n v="3"/>
    <d v="2024-06-19T00:00:00"/>
    <d v="2024-06-17T00:00:00"/>
    <x v="6"/>
    <m/>
    <n v="2"/>
    <n v="2"/>
    <m/>
    <x v="0"/>
    <s v="BOLSA 25 KILOS"/>
    <n v="6000"/>
    <n v="6000"/>
  </r>
  <r>
    <n v="7692560"/>
    <s v="(-)(N)(M)(39,5)(37)//EXPLORADOR XG 3000, ASTAXANTINA 10% 90,000 PPM"/>
    <n v="6012538465"/>
    <s v="AUSTRALIS-PUNTA LAUCA"/>
    <n v="12"/>
    <d v="2024-06-25T00:00:00"/>
    <d v="2024-06-22T00:00:00"/>
    <x v="4"/>
    <n v="1"/>
    <n v="2"/>
    <n v="3"/>
    <s v="CONTINENTE"/>
    <x v="0"/>
    <s v="MAXISACO 1250 KILOS"/>
    <n v="0"/>
    <n v="60000"/>
  </r>
  <r>
    <n v="7692862"/>
    <s v="(-)(N)(M)(38)(37,5)//SFM XG 2009 - CQ, ASTAXANTINA 10% 80,000 PPM, DUFLOSAN 50% (FLORFENICOL) 6,000 KGT"/>
    <n v="6012540641"/>
    <s v="CERMAQ CHILE S.A."/>
    <n v="9"/>
    <d v="2024-06-19T00:00:00"/>
    <d v="2024-06-17T00:00:00"/>
    <x v="3"/>
    <m/>
    <n v="2"/>
    <n v="2"/>
    <s v="CASTRO"/>
    <x v="1"/>
    <s v="MAXISACO 1250 KILOS"/>
    <n v="13750"/>
    <n v="13750"/>
  </r>
  <r>
    <n v="7600154"/>
    <s v="(X-PP)(N)(M)(39,5)(37)//EXPLORADOR XG 3000 -VTQ, ASTAXANTINA 10% 80,000 PPM, KOMBO SHIELD 5,000 L"/>
    <n v="6012541587"/>
    <s v="PROD.VENTISQUEROS-LINGUAR"/>
    <n v="12"/>
    <d v="2024-06-15T00:00:00"/>
    <d v="2024-06-10T00:00:00"/>
    <x v="1"/>
    <n v="3"/>
    <n v="2"/>
    <n v="5"/>
    <s v="CASTRO"/>
    <x v="0"/>
    <s v="MAXISACO 1250 KILOS"/>
    <n v="25000"/>
    <n v="75000"/>
  </r>
  <r>
    <n v="7692924"/>
    <s v="(-)(N)(M)(38)(37,5)//SFM XG 2000 - MW, ASTAXANTINA 10% 70,000 PPM, VETERIN 80% Florfenicol - Centrovet 4,700 KGT"/>
    <n v="6012538488"/>
    <s v="MOWI CHILE-HUELMO"/>
    <n v="12"/>
    <d v="2024-06-12T00:00:00"/>
    <d v="2024-06-07T00:00:00"/>
    <x v="2"/>
    <n v="3"/>
    <n v="2"/>
    <n v="5"/>
    <s v="CALBUCO"/>
    <x v="1"/>
    <s v="MAXISACO 1250 KILOS"/>
    <n v="22500"/>
    <n v="22500"/>
  </r>
  <r>
    <n v="7692924"/>
    <s v="(-)(N)(M)(38)(37,5)//SFM XG 2000 - MW, ASTAXANTINA 10% 70,000 PPM, VETERIN 80% Florfenicol - Centrovet 4,700 KGT"/>
    <n v="6012540813"/>
    <s v="MOWI CHILE-HUELMO"/>
    <n v="12"/>
    <d v="2024-06-14T00:00:00"/>
    <d v="2024-06-09T00:00:00"/>
    <x v="2"/>
    <n v="3"/>
    <n v="2"/>
    <n v="5"/>
    <s v="CALBUCO"/>
    <x v="1"/>
    <s v="MAXISACO 1250 KILOS"/>
    <n v="38750"/>
    <n v="38750"/>
  </r>
  <r>
    <n v="7692858"/>
    <s v="(-)(N)(M)(29,5)(46)//SFM XG 250 - CQ, ASTAXANTINA 10% 80,000 PPM, DUFLOSAN 50% (FLORFENICOL) 3,000 KGT"/>
    <n v="6012540805"/>
    <s v="CERMAQ CHILE S.A."/>
    <n v="4"/>
    <d v="2024-06-20T00:00:00"/>
    <d v="2024-06-18T00:00:00"/>
    <x v="3"/>
    <m/>
    <n v="2"/>
    <n v="2"/>
    <s v="CASTRO"/>
    <x v="1"/>
    <s v="MAXISACO 1250 KILOS"/>
    <n v="25000"/>
    <n v="25000"/>
  </r>
  <r>
    <n v="7652041"/>
    <s v="(-)(N)(M)(22)(48)//VITACARE TRAN 60, ASTAXANTINA 10% 60,000 PPM, VIRAL 1,000 PKT"/>
    <n v="6012543568"/>
    <s v="VITAPRO CHILE S.A."/>
    <n v="3"/>
    <d v="2024-06-20T00:00:00"/>
    <d v="2024-06-18T00:00:00"/>
    <x v="7"/>
    <m/>
    <n v="2"/>
    <n v="2"/>
    <m/>
    <x v="0"/>
    <s v="MAXISACO 500 KILOS"/>
    <n v="15000"/>
    <n v="15000"/>
  </r>
  <r>
    <n v="7692923"/>
    <s v="(-)(N)(M)(35)(39)//SFM XG 1000 - MW, ASTAXANTINA 10% 80,000 PPM, QUINAFISH (B EMAMECTINA) 5,000 KGT, SKIN PACK MOWI 1,000 PKT, PAQ - XTRACT 1,500 KGT"/>
    <n v="6012544658"/>
    <s v="MOWI CHILE-PUNTA APIAO"/>
    <n v="9"/>
    <d v="2024-06-21T00:00:00"/>
    <d v="2024-06-17T00:00:00"/>
    <x v="2"/>
    <n v="2"/>
    <n v="2"/>
    <n v="4"/>
    <s v="CASTRO"/>
    <x v="1"/>
    <s v="MAXISACO 1250 KILOS"/>
    <n v="66250"/>
    <n v="20625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n v="7692883"/>
    <s v="(-)(N)(B)(24)(42)//LEMUY 250 EXP, ASTAXANTINA 10% 80,000 PPM"/>
    <n v="6012432903"/>
    <s v="LLC &quot;SALTRA&quot;"/>
    <x v="0"/>
    <d v="2024-06-27T00:00:00"/>
    <d v="2024-06-25T00:00:00"/>
    <x v="0"/>
    <m/>
    <n v="2"/>
    <n v="2"/>
    <m/>
    <s v="NORMAL"/>
    <s v="BOLSA 25 KILOS"/>
    <n v="0"/>
    <n v="104000"/>
    <m/>
  </r>
  <r>
    <n v="7692887"/>
    <s v="(-)(N)(B)(20)(44)//TR-2242-02 EXP"/>
    <n v="6012433361"/>
    <s v="LLC &quot;SALTRA&quot;"/>
    <x v="1"/>
    <d v="2024-06-27T00:00:00"/>
    <d v="2024-06-25T00:00:00"/>
    <x v="0"/>
    <m/>
    <n v="2"/>
    <n v="2"/>
    <m/>
    <s v="NORMAL"/>
    <s v="BOLSA 25 KILOS"/>
    <n v="0"/>
    <n v="26000"/>
    <m/>
  </r>
  <r>
    <n v="7692888"/>
    <s v="(-)(N)(B)(20)(44)//TR-2242-03 EXP"/>
    <n v="6012433458"/>
    <s v="LLC &quot;SALTRA&quot;"/>
    <x v="2"/>
    <d v="2024-06-27T00:00:00"/>
    <d v="2024-06-25T00:00:00"/>
    <x v="0"/>
    <m/>
    <n v="2"/>
    <n v="2"/>
    <m/>
    <s v="NORMAL"/>
    <s v="BOLSA 25 KILOS"/>
    <n v="0"/>
    <n v="52000"/>
    <m/>
  </r>
  <r>
    <n v="7692885"/>
    <s v="(-)(N)(B)(24)(39,5)//LEMUY 1000 EXP, ASTAXANTINA 10% 80,000 PPM"/>
    <n v="6012433635"/>
    <s v="LLC &quot;SALTRA&quot;"/>
    <x v="3"/>
    <d v="2024-06-27T00:00:00"/>
    <d v="2024-06-25T00:00:00"/>
    <x v="0"/>
    <m/>
    <n v="2"/>
    <n v="2"/>
    <m/>
    <s v="NORMAL"/>
    <s v="BOLSA 25 KILOS"/>
    <n v="0"/>
    <n v="180000"/>
    <m/>
  </r>
  <r>
    <n v="7692879"/>
    <s v="(-)(N)(M)(26)(43)//EXPLORADOR 500, ASTAXANTINA 10% 100,000 PPM"/>
    <n v="6012433792"/>
    <s v="LLC &quot;SALTRA&quot;"/>
    <x v="4"/>
    <d v="2024-06-27T00:00:00"/>
    <d v="2024-06-25T00:00:00"/>
    <x v="0"/>
    <m/>
    <n v="2"/>
    <n v="2"/>
    <m/>
    <s v="NORMAL"/>
    <s v="MAXISACO 1250 KILOS"/>
    <n v="0"/>
    <n v="1000"/>
    <m/>
  </r>
  <r>
    <n v="7692884"/>
    <s v="(-)(N)(B)(24)(39,5)//LEMUY 500 EXP, ASTAXANTINA 10% 80,000 PPM"/>
    <n v="6012433815"/>
    <s v="LLC &quot;SALTRA&quot;"/>
    <x v="4"/>
    <d v="2024-06-27T00:00:00"/>
    <d v="2024-06-25T00:00:00"/>
    <x v="0"/>
    <m/>
    <n v="2"/>
    <n v="2"/>
    <m/>
    <s v="NORMAL"/>
    <s v="BOLSA 25 KILOS"/>
    <n v="0"/>
    <n v="260000"/>
    <m/>
  </r>
  <r>
    <n v="7692880"/>
    <s v="(-)(N)(M)(27)(37)//EXPLORADOR 1000, ASTAXANTINA 10% 100,000 PPM"/>
    <n v="6012433828"/>
    <s v="LLC &quot;SALTRA&quot;"/>
    <x v="3"/>
    <d v="2024-06-27T00:00:00"/>
    <d v="2024-06-25T00:00:00"/>
    <x v="0"/>
    <m/>
    <n v="2"/>
    <n v="2"/>
    <m/>
    <s v="NORMAL"/>
    <s v="MAXISACO 1250 KILOS"/>
    <n v="0"/>
    <n v="1000"/>
    <m/>
  </r>
  <r>
    <n v="7600154"/>
    <s v="(X-PP)(N)(M)(39,5)(37)//EXPLORADOR XG 3000 -VTQ, ASTAXANTINA 10% 80,000 PPM, L-END 1,000 KGT, PAQ - XTRACT 1,500 KGT"/>
    <n v="6012448025"/>
    <s v="PROD.VENTISQUEROS-PITIHORNO SUR"/>
    <x v="5"/>
    <d v="2024-06-19T00:00:00"/>
    <d v="2024-06-14T00:00:00"/>
    <x v="1"/>
    <n v="3"/>
    <n v="2"/>
    <n v="5"/>
    <s v="CASTRO"/>
    <s v="NORMAL"/>
    <s v="MAXISACO 1250 KILOS"/>
    <n v="17500"/>
    <n v="17500"/>
    <m/>
  </r>
  <r>
    <n v="7622071"/>
    <s v="(-)(N)(M)(39,5)(36,5)//EXPLORADOR XG 3000, ASTAXANTINA 10% 70,000 PPM"/>
    <n v="6012487213"/>
    <s v="MOWI CHILE-LLINGUA"/>
    <x v="5"/>
    <d v="2024-06-27T00:00:00"/>
    <d v="2024-06-23T00:00:00"/>
    <x v="2"/>
    <n v="2"/>
    <n v="2"/>
    <n v="4"/>
    <s v="CASTRO"/>
    <s v="NORMAL"/>
    <s v="MAXISACO 1250 KILOS"/>
    <n v="0"/>
    <n v="3750"/>
    <m/>
  </r>
  <r>
    <n v="7692552"/>
    <s v="(X-PP)(N)(M)(38,5)(37,5)//EXPLORADOR XG (N3+) 2009, ASTAXANTINA 10% 60,000 PPM, PREMIX CQ 1,000 PKT"/>
    <n v="6012500183"/>
    <s v="CERMAQ-DUCAÑAS"/>
    <x v="3"/>
    <d v="2024-06-20T00:00:00"/>
    <d v="2024-06-16T00:00:00"/>
    <x v="3"/>
    <n v="2"/>
    <n v="2"/>
    <n v="4"/>
    <s v="CASTRO"/>
    <s v="NORMAL"/>
    <s v="MAXISACO 1250 KILOS"/>
    <n v="60000"/>
    <n v="120000"/>
    <m/>
  </r>
  <r>
    <n v="7692552"/>
    <s v="(X-PP)(N)(M)(38,5)(37,5)//EXPLORADOR XG (N3+) 2009, ASTAXANTINA 10% 60,000 PPM, C3 - COS 2,500 KGT"/>
    <n v="6012500180"/>
    <s v="CERMAQ-CALEN 2"/>
    <x v="3"/>
    <d v="2024-06-26T00:00:00"/>
    <d v="2024-06-22T00:00:00"/>
    <x v="3"/>
    <n v="2"/>
    <n v="2"/>
    <n v="4"/>
    <s v="CASTRO"/>
    <s v="NORMAL"/>
    <s v="MAXISACO 1250 KILOS"/>
    <n v="0"/>
    <n v="86250"/>
    <m/>
  </r>
  <r>
    <n v="7692552"/>
    <s v="(X-PP)(N)(M)(38,5)(37,5)//EXPLORADOR XG (N3+) 2009, ASTAXANTINA 10% 60,000 PPM, C3 - COS 2,500 KGT"/>
    <n v="6012500181"/>
    <s v="CERMAQ-CALEN 2"/>
    <x v="3"/>
    <d v="2024-06-19T00:00:00"/>
    <d v="2024-06-15T00:00:00"/>
    <x v="3"/>
    <n v="2"/>
    <n v="2"/>
    <n v="4"/>
    <s v="CASTRO"/>
    <s v="NORMAL"/>
    <s v="MAXISACO 1250 KILOS"/>
    <n v="100000"/>
    <n v="150000"/>
    <m/>
  </r>
  <r>
    <n v="7692557"/>
    <s v="(XI-PP)(N)(M)(34)(41,5)//EXPLORADOR XG 500, ASTAXANTINA 10% 90,000 PPM"/>
    <n v="6012499558"/>
    <s v="AUSTRALIS-HUMOS 3"/>
    <x v="4"/>
    <d v="2024-06-15T00:00:00"/>
    <d v="2024-06-07T00:00:00"/>
    <x v="4"/>
    <n v="6"/>
    <n v="2"/>
    <n v="8"/>
    <s v="QUELLON"/>
    <s v="NORMAL"/>
    <s v="MAXISACO 1250 KILOS"/>
    <n v="1250"/>
    <n v="1250"/>
    <m/>
  </r>
  <r>
    <n v="7692560"/>
    <s v="(XI-PP)(N)(M)(39,5)(37)//EXPLORADOR XG 3000, ASTAXANTINA 10% 90,000 PPM"/>
    <n v="6012499557"/>
    <s v="AUSTRALIS-HUMOS 3"/>
    <x v="5"/>
    <d v="2024-06-20T00:00:00"/>
    <d v="2024-06-12T00:00:00"/>
    <x v="4"/>
    <n v="6"/>
    <n v="2"/>
    <n v="8"/>
    <s v="QUELLON"/>
    <s v="NORMAL"/>
    <s v="MAXISACO 1250 KILOS"/>
    <n v="90000"/>
    <n v="130000"/>
    <m/>
  </r>
  <r>
    <n v="7692560"/>
    <s v="(XI-PP)(N)(M)(39,5)(37)//EXPLORADOR XG 3000, ASTAXANTINA 10% 90,000 PPM"/>
    <n v="6012499976"/>
    <s v="AUSTRALIS-MELCHOR 4"/>
    <x v="5"/>
    <d v="2024-06-24T00:00:00"/>
    <d v="2024-06-16T00:00:00"/>
    <x v="4"/>
    <n v="6"/>
    <n v="2"/>
    <n v="8"/>
    <s v="QUELLON"/>
    <s v="NORMAL"/>
    <s v="MAXISACO 1250 KILOS"/>
    <n v="75000"/>
    <n v="75000"/>
    <m/>
  </r>
  <r>
    <n v="7692588"/>
    <s v="(XI-PP)(N)(M)(38,5)(37,5)//EXPLORADOR XG 2009, ASTAXANTINA 10% 90,000 PPM"/>
    <n v="6012499777"/>
    <s v="AUSTRALIS-HUMOS 5"/>
    <x v="3"/>
    <d v="2024-06-22T00:00:00"/>
    <d v="2024-06-14T00:00:00"/>
    <x v="4"/>
    <n v="6"/>
    <n v="2"/>
    <n v="8"/>
    <s v="QUELLON"/>
    <s v="NORMAL"/>
    <s v="MAXISACO 1250 KILOS"/>
    <n v="20000"/>
    <n v="110000"/>
    <m/>
  </r>
  <r>
    <n v="7692588"/>
    <s v="(XI-PP)(N)(M)(38,5)(37,5)//EXPLORADOR XG 2009, ASTAXANTINA 10% 90,000 PPM"/>
    <n v="6012499815"/>
    <s v="AUSTRALIS-HUMOS 3"/>
    <x v="3"/>
    <d v="2024-06-20T00:00:00"/>
    <d v="2024-06-12T00:00:00"/>
    <x v="4"/>
    <n v="6"/>
    <n v="2"/>
    <n v="8"/>
    <s v="QUELLON"/>
    <s v="NORMAL"/>
    <s v="MAXISACO 1250 KILOS"/>
    <n v="13750"/>
    <n v="43750"/>
    <m/>
  </r>
  <r>
    <n v="7692794"/>
    <s v="(X-SPOT)(N)(M)(37)(38)//EXPLORADOR XG 2500 (9) - MULTIX, ASTAXANTINA 10% 60,000 PPM"/>
    <n v="6012506029"/>
    <s v="MULTIEXPORT-LLAGUEPE"/>
    <x v="3"/>
    <d v="2024-06-27T00:00:00"/>
    <d v="2024-06-24T00:00:00"/>
    <x v="5"/>
    <n v="1"/>
    <n v="2"/>
    <n v="3"/>
    <s v="CONTINENTE"/>
    <s v="NORMAL"/>
    <s v="MAXISACO 1250 KILOS"/>
    <n v="0"/>
    <n v="45000"/>
    <m/>
  </r>
  <r>
    <n v="7692794"/>
    <s v="(XI-TERRESTRE)(N)(M)(37)(38)//EXPLORADOR XG 2500 (9) - MULTIX, ASTAXANTINA 10% 60,000 PPM"/>
    <n v="6012505051"/>
    <s v="MULTIEXPORT-IZAZA"/>
    <x v="3"/>
    <d v="2024-06-18T00:00:00"/>
    <d v="2024-06-15T00:00:00"/>
    <x v="5"/>
    <n v="1"/>
    <n v="2"/>
    <n v="3"/>
    <s v="CONTINENTE"/>
    <s v="NORMAL"/>
    <s v="MAXISACO 1250 KILOS"/>
    <n v="55000"/>
    <n v="110000"/>
    <m/>
  </r>
  <r>
    <n v="7692793"/>
    <s v="(XI-TERRESTRE)(N)(M)(36)(38)//EXPLORADOR XG 1000 - MULTIX, ASTAXANTINA 10% 60,000 PPM"/>
    <n v="6012505057"/>
    <s v="MULTIEXPORT-IZAZA"/>
    <x v="3"/>
    <d v="2024-06-24T00:00:00"/>
    <d v="2024-06-21T00:00:00"/>
    <x v="5"/>
    <n v="1"/>
    <n v="2"/>
    <n v="3"/>
    <s v="CONTINENTE"/>
    <s v="NORMAL"/>
    <s v="MAXISACO 1250 KILOS"/>
    <n v="0"/>
    <n v="110000"/>
    <m/>
  </r>
  <r>
    <n v="7692793"/>
    <s v="(XI-TERRESTRE)(N)(M)(36)(38)//EXPLORADOR XG 1000 - MULTIX, ASTAXANTINA 10% 60,000 PPM"/>
    <n v="6012506020"/>
    <s v="MULTIEXPORT-IZAZA"/>
    <x v="3"/>
    <d v="2024-06-18T00:00:00"/>
    <d v="2024-06-15T00:00:00"/>
    <x v="5"/>
    <n v="1"/>
    <n v="2"/>
    <n v="3"/>
    <s v="CONTINENTE"/>
    <s v="NORMAL"/>
    <s v="MAXISACO 1250 KILOS"/>
    <n v="36250"/>
    <n v="91250"/>
    <m/>
  </r>
  <r>
    <n v="7692795"/>
    <s v="(X-SPOT)(N)(M)(37)(38)//EXPLORADOR XG 4000 (9) - MULTIX, ASTAXANTINA 10% 60,000 PPM"/>
    <n v="6012505975"/>
    <s v="MULTIEXPORT-LLAGUEPE"/>
    <x v="3"/>
    <d v="2024-06-21T00:00:00"/>
    <d v="2024-06-18T00:00:00"/>
    <x v="5"/>
    <n v="1"/>
    <n v="2"/>
    <n v="3"/>
    <s v="CONTINENTE"/>
    <s v="NORMAL"/>
    <s v="MAXISACO 1250 KILOS"/>
    <n v="82500"/>
    <n v="137500"/>
    <m/>
  </r>
  <r>
    <n v="7692795"/>
    <s v="(XI-SPOT)(N)(M)(37)(38)//EXPLORADOR XG 4000 (9) - MULTIX, ASTAXANTINA 10% 60,000 PPM"/>
    <n v="6012505426"/>
    <s v="MULTIEXPORT-CHAPARANO"/>
    <x v="3"/>
    <d v="2024-06-16T00:00:00"/>
    <d v="2024-06-13T00:00:00"/>
    <x v="5"/>
    <n v="1"/>
    <n v="2"/>
    <n v="3"/>
    <s v="CONTINENTE"/>
    <s v="NORMAL"/>
    <s v="MAXISACO 1250 KILOS"/>
    <n v="82500"/>
    <n v="82500"/>
    <m/>
  </r>
  <r>
    <n v="7692795"/>
    <s v="(XI-SPOT)(N)(M)(37)(38)//EXPLORADOR XG 4000 (9) - MULTIX, ASTAXANTINA 10% 60,000 PPM"/>
    <n v="6012505427"/>
    <s v="MULTIEXPORT-CHAPARANO"/>
    <x v="3"/>
    <d v="2024-06-18T00:00:00"/>
    <d v="2024-06-15T00:00:00"/>
    <x v="5"/>
    <n v="1"/>
    <n v="2"/>
    <n v="3"/>
    <s v="CONTINENTE"/>
    <s v="NORMAL"/>
    <s v="MAXISACO 1250 KILOS"/>
    <n v="82500"/>
    <n v="247500"/>
    <m/>
  </r>
  <r>
    <n v="7692795"/>
    <s v="(XI-SPOT)(N)(M)(37)(38)//EXPLORADOR XG 4000 (9) - MULTIX, ASTAXANTINA 10% 60,000 PPM"/>
    <n v="6012505770"/>
    <s v="MULTIEXPORT-CHAPARANO"/>
    <x v="3"/>
    <d v="2024-06-20T00:00:00"/>
    <d v="2024-06-17T00:00:00"/>
    <x v="5"/>
    <n v="1"/>
    <n v="2"/>
    <n v="3"/>
    <s v="CONTINENTE"/>
    <s v="NORMAL"/>
    <s v="MAXISACO 1250 KILOS"/>
    <n v="82500"/>
    <n v="220000"/>
    <m/>
  </r>
  <r>
    <n v="7692731"/>
    <s v="(-)(N)(M)(27,5)(47,5)//TRANSFER XG (N3+) 100 - CQ, ASTAXANTINA 10% 80,000 PPM, C3 - COS 2,500 KGT"/>
    <n v="6012500733"/>
    <s v="CERMAQ-TRANQUI 1"/>
    <x v="0"/>
    <d v="2024-06-18T00:00:00"/>
    <d v="2024-06-14T00:00:00"/>
    <x v="3"/>
    <n v="2"/>
    <n v="2"/>
    <n v="4"/>
    <s v="CASTRO"/>
    <s v="NORMAL"/>
    <s v="MAXISACO 1250 KILOS"/>
    <n v="2500"/>
    <n v="17500"/>
    <m/>
  </r>
  <r>
    <n v="7600125"/>
    <s v="(X-PP)(N)(M)(30)(39)//EXPLORADOR AE 500-VTQ, ASTAXANTINA 10% 80,000 PPM, L-END 1,000 KGT"/>
    <n v="6012506320"/>
    <s v="PROD.VENTISQUEROS-ICA"/>
    <x v="4"/>
    <d v="2024-06-24T00:00:00"/>
    <d v="2024-06-19T00:00:00"/>
    <x v="1"/>
    <n v="3"/>
    <n v="2"/>
    <n v="5"/>
    <s v="CASTRO"/>
    <s v="NORMAL"/>
    <s v="MAXISACO 1250 KILOS"/>
    <n v="0"/>
    <n v="113750"/>
    <m/>
  </r>
  <r>
    <n v="7600154"/>
    <s v="(X-PP)(N)(M)(39,5)(37)//EXPLORADOR XG 3000 -VTQ, ASTAXANTINA 10% 80,000 PPM, L-END 1,000 KGT, PAQ - XTRACT 1,500 KGT"/>
    <n v="6012506417"/>
    <s v="PROD.VENTISQUEROS-PITIHORNO SUR"/>
    <x v="5"/>
    <d v="2024-06-29T00:00:00"/>
    <d v="2024-06-24T00:00:00"/>
    <x v="1"/>
    <n v="3"/>
    <n v="2"/>
    <n v="5"/>
    <s v="CASTRO"/>
    <s v="NORMAL"/>
    <s v="MAXISACO 1250 KILOS"/>
    <n v="0"/>
    <n v="50000"/>
    <m/>
  </r>
  <r>
    <n v="7600154"/>
    <s v="(X-PP)(N)(M)(39,5)(37)//EXPLORADOR XG 3000 -VTQ, ASTAXANTINA 10% 80,000 PPM, L-END 1,000 KGT, PAQ - XTRACT 1,500 KGT"/>
    <n v="6012506528"/>
    <s v="PROD.VENTISQUEROS-PITIHORNO SUR"/>
    <x v="5"/>
    <d v="2024-06-24T00:00:00"/>
    <d v="2024-06-19T00:00:00"/>
    <x v="1"/>
    <n v="3"/>
    <n v="2"/>
    <n v="5"/>
    <s v="CASTRO"/>
    <s v="NORMAL"/>
    <s v="MAXISACO 1250 KILOS"/>
    <n v="0"/>
    <n v="60000"/>
    <m/>
  </r>
  <r>
    <n v="7600154"/>
    <s v="(X-PP)(N)(M)(39,5)(37)//EXPLORADOR XG 3000 -VTQ, ASTAXANTINA 10% 80,000 PPM, Extra n3 EPA+DHA (USD/+0,5% incl) 4,000 PKT, L-END 1,000 KGT, PAQ - XTRACT 1,500 KGT"/>
    <n v="6012506418"/>
    <s v="PROD.VENTISQUEROS-PITIHORNO SUR"/>
    <x v="5"/>
    <d v="2024-06-28T00:00:00"/>
    <d v="2024-06-23T00:00:00"/>
    <x v="1"/>
    <n v="3"/>
    <n v="2"/>
    <n v="5"/>
    <s v="CASTRO"/>
    <s v="NORMAL"/>
    <s v="MAXISACO 1250 KILOS"/>
    <n v="0"/>
    <n v="80000"/>
    <m/>
  </r>
  <r>
    <n v="7692793"/>
    <s v="(-)(N)(M)(36)(38)//EXPLORADOR XG 1000 - MULTIX, ASTAXANTINA 10% 60,000 PPM"/>
    <n v="6012505647"/>
    <s v="MULTIEXPORT-ROWLET"/>
    <x v="3"/>
    <d v="2024-06-17T00:00:00"/>
    <d v="2024-06-14T00:00:00"/>
    <x v="5"/>
    <n v="1"/>
    <n v="2"/>
    <n v="3"/>
    <s v="CONTINENTE"/>
    <s v="NORMAL"/>
    <s v="MAXISACO 1250 KILOS"/>
    <n v="81250"/>
    <n v="81250"/>
    <m/>
  </r>
  <r>
    <n v="7692793"/>
    <s v="(-)(N)(M)(36)(38)//EXPLORADOR XG 1000 - MULTIX, ASTAXANTINA 10% 60,000 PPM"/>
    <n v="6012505977"/>
    <s v="MULTIEXPORT-ROWLET"/>
    <x v="3"/>
    <d v="2024-06-25T00:00:00"/>
    <d v="2024-06-22T00:00:00"/>
    <x v="5"/>
    <n v="1"/>
    <n v="2"/>
    <n v="3"/>
    <s v="CONTINENTE"/>
    <s v="NORMAL"/>
    <s v="MAXISACO 1250 KILOS"/>
    <n v="0"/>
    <n v="107500"/>
    <m/>
  </r>
  <r>
    <n v="7622071"/>
    <s v="(-)(N)(M)(39,5)(36,5)//EXPLORADOR XG 3000, ASTAXANTINA 10% 70,000 PPM, SKIN PACK MOWI 1,000 PKT"/>
    <n v="6012507720"/>
    <s v="MOWI CHILE-PALQUI"/>
    <x v="5"/>
    <d v="2024-06-19T00:00:00"/>
    <d v="2024-06-15T00:00:00"/>
    <x v="2"/>
    <n v="2"/>
    <n v="2"/>
    <n v="4"/>
    <s v="CASTRO"/>
    <s v="NORMAL"/>
    <s v="MAXISACO 1250 KILOS"/>
    <n v="60000"/>
    <n v="175000"/>
    <m/>
  </r>
  <r>
    <n v="7600152"/>
    <s v="(-)(N)(M)(36)(39)//EXPLORADOR XG 1000-VTQ, ASTAXANTINA 10% 80,000 PPM"/>
    <n v="6012507174"/>
    <s v="PROD.VENTISQ-NORTE ISLA FRANCISCO"/>
    <x v="3"/>
    <d v="2024-06-25T00:00:00"/>
    <d v="2024-06-17T00:00:00"/>
    <x v="1"/>
    <n v="6"/>
    <n v="2"/>
    <n v="8"/>
    <s v="QUELLON"/>
    <s v="NORMAL"/>
    <s v="MAXISACO 1250 KILOS"/>
    <n v="150000"/>
    <n v="150000"/>
    <m/>
  </r>
  <r>
    <n v="7692912"/>
    <s v="(-)(N)(B)(0)(0)//TRANSFER SALAR XG100- MW, ASTAXANTINA 10% 80,000 PPM"/>
    <n v="6012513746"/>
    <s v="MOWI CHILE-BAJO LA BARRA"/>
    <x v="0"/>
    <d v="2024-06-17T00:00:00"/>
    <d v="2024-06-13T00:00:00"/>
    <x v="2"/>
    <n v="2"/>
    <n v="2"/>
    <n v="4"/>
    <s v="CASTRO"/>
    <s v="NORMAL"/>
    <s v="BOLSA 25 KILOS"/>
    <n v="6450"/>
    <n v="41450"/>
    <m/>
  </r>
  <r>
    <n v="7692912"/>
    <s v="(-)(N)(B)(0)(0)//TRANSFER SALAR XG100- MW, ASTAXANTINA 10% 80,000 PPM"/>
    <n v="6012514363"/>
    <s v="MOWI CHILE-BAJO LA BARRA"/>
    <x v="0"/>
    <d v="2024-07-08T00:00:00"/>
    <d v="2024-07-04T00:00:00"/>
    <x v="2"/>
    <n v="2"/>
    <n v="2"/>
    <n v="4"/>
    <s v="CASTRO"/>
    <s v="NORMAL"/>
    <s v="BOLSA 25 KILOS"/>
    <n v="0"/>
    <n v="65000"/>
    <m/>
  </r>
  <r>
    <n v="7692912"/>
    <s v="(-)(N)(M)(0)(0)//TRANSFER SALAR XG100- MW, ASTAXANTINA 10% 80,000 PPM"/>
    <n v="6012513744"/>
    <s v="MOWI CHILE-BAJO LA BARRA"/>
    <x v="0"/>
    <d v="2024-07-08T00:00:00"/>
    <d v="2024-07-04T00:00:00"/>
    <x v="2"/>
    <n v="2"/>
    <n v="2"/>
    <n v="4"/>
    <s v="CASTRO"/>
    <s v="NORMAL"/>
    <s v="MAXISACO 1250 KILOS"/>
    <n v="0"/>
    <n v="5000"/>
    <m/>
  </r>
  <r>
    <n v="7692798"/>
    <s v="(-)(N)(M)(34,5)(35,5)//SFM AE 2500 (9) - MULTIX, ASTAXANTINA 10% 60,000 PPM, ATEFLOR 50% (FLORFENICOL) 5,000 KGT"/>
    <n v="6012519405"/>
    <s v="MULTI X S.A."/>
    <x v="3"/>
    <d v="2024-06-13T00:00:00"/>
    <d v="2024-06-10T00:00:00"/>
    <x v="5"/>
    <n v="1"/>
    <n v="2"/>
    <n v="3"/>
    <s v="CONTINENTE"/>
    <s v="MEDICADO"/>
    <s v="MAXISACO 1250 KILOS"/>
    <n v="125000"/>
    <n v="125000"/>
    <m/>
  </r>
  <r>
    <n v="7622071"/>
    <s v="(-)(N)(M)(39,5)(36,5)//EXPLORADOR XG 3000, ASTAXANTINA 10% 70,000 PPM"/>
    <n v="6012518378"/>
    <s v="MOWI CHILE-LLINGUA"/>
    <x v="5"/>
    <d v="2024-07-02T00:00:00"/>
    <d v="2024-06-28T00:00:00"/>
    <x v="2"/>
    <n v="2"/>
    <n v="2"/>
    <n v="4"/>
    <s v="CASTRO"/>
    <s v="NORMAL"/>
    <s v="MAXISACO 1250 KILOS"/>
    <n v="0"/>
    <n v="180000"/>
    <m/>
  </r>
  <r>
    <n v="7600128"/>
    <s v="(X-PP)(N)(M)(37)(35)//EXPLORADOR AE 3000-VTQ, ASTAXANTINA 10% 80,000 PPM, L-END 1,000 KGT, C3 - COS 2,500 KGT"/>
    <n v="6012519069"/>
    <s v="PROD.VENTISQUEROS-MORROLOBOS"/>
    <x v="5"/>
    <d v="2024-06-20T00:00:00"/>
    <d v="2024-06-16T00:00:00"/>
    <x v="1"/>
    <n v="2"/>
    <n v="2"/>
    <n v="4"/>
    <s v="CASTRO"/>
    <s v="NORMAL"/>
    <s v="MAXISACO 1250 KILOS"/>
    <n v="150000"/>
    <n v="150000"/>
    <m/>
  </r>
  <r>
    <n v="7600128"/>
    <s v="(X-PP)(N)(M)(37)(35)//EXPLORADOR AE 3000-VTQ, ASTAXANTINA 10% 80,000 PPM, L-END 1,000 KGT, C3 - COS 2,500 KGT"/>
    <n v="6012519074"/>
    <s v="PROD.VENTISQUEROS-MORROLOBOS"/>
    <x v="5"/>
    <d v="2024-06-26T00:00:00"/>
    <d v="2024-06-22T00:00:00"/>
    <x v="1"/>
    <n v="2"/>
    <n v="2"/>
    <n v="4"/>
    <s v="CASTRO"/>
    <s v="NORMAL"/>
    <s v="MAXISACO 1250 KILOS"/>
    <n v="0"/>
    <n v="150000"/>
    <m/>
  </r>
  <r>
    <n v="7692794"/>
    <s v="(XI-TERRESTRE)(N)(M)(37)(38)//EXPLORADOR XG 2500 (9) - MULTIX, ASTAXANTINA 10% 80,000 PPM"/>
    <n v="6012523034"/>
    <s v="MULTIEXPORT-CHALACAYEC"/>
    <x v="3"/>
    <d v="2024-06-20T00:00:00"/>
    <d v="2024-06-17T00:00:00"/>
    <x v="5"/>
    <n v="1"/>
    <n v="2"/>
    <n v="3"/>
    <s v="CONTINENTE"/>
    <s v="NORMAL"/>
    <s v="MAXISACO 1250 KILOS"/>
    <n v="51250"/>
    <n v="51250"/>
    <m/>
  </r>
  <r>
    <n v="7692782"/>
    <s v="(-)(N)(M)(36)(39)//EXPLORADOR XG 1000 - MW, ASTAXANTINA 10% 80,000 PPM"/>
    <n v="6012523665"/>
    <s v="MOWI CHILE-PUNTA APIAO"/>
    <x v="3"/>
    <d v="2024-06-14T00:00:00"/>
    <d v="2024-06-10T00:00:00"/>
    <x v="2"/>
    <n v="2"/>
    <n v="2"/>
    <n v="4"/>
    <s v="CASTRO"/>
    <s v="NORMAL"/>
    <s v="MAXISACO 1250 KILOS"/>
    <n v="6250"/>
    <n v="6250"/>
    <m/>
  </r>
  <r>
    <n v="7692598"/>
    <s v="(X-PP)(N)(M)(38)(37,5)//SFM XG 2000, ASTAXANTINA 10% 80,000 PPM, L-END 1,000 KGT, PAQ - XTRACT 1,500 KGT, VETERIN 80% Florfenicol - Centrovet 3,700 KGT"/>
    <n v="6012519599"/>
    <s v="PROD.VENTISQUEROS-PITIHORNO SUR"/>
    <x v="5"/>
    <d v="2024-06-11T00:00:00"/>
    <d v="2024-06-06T00:00:00"/>
    <x v="1"/>
    <n v="3"/>
    <n v="2"/>
    <n v="5"/>
    <s v="CASTRO"/>
    <s v="MEDICADO"/>
    <s v="MAXISACO 1250 KILOS"/>
    <n v="22500"/>
    <n v="22500"/>
    <m/>
  </r>
  <r>
    <n v="7692598"/>
    <s v="(X-PP)(N)(M)(38)(37,5)//SFM XG 2000, ASTAXANTINA 10% 80,000 PPM, L-END 1,000 KGT, PAQ - XTRACT 1,500 KGT, VETERIN 80% Florfenicol - Centrovet 3,200 KGT"/>
    <n v="6012519600"/>
    <s v="PROD.VENTISQUEROS-PITIHORNO SUR"/>
    <x v="5"/>
    <d v="2024-06-11T00:00:00"/>
    <d v="2024-06-06T00:00:00"/>
    <x v="1"/>
    <n v="3"/>
    <n v="2"/>
    <n v="5"/>
    <s v="CASTRO"/>
    <s v="MEDICADO"/>
    <s v="MAXISACO 1250 KILOS"/>
    <n v="76250"/>
    <n v="76250"/>
    <m/>
  </r>
  <r>
    <n v="7692561"/>
    <s v="(XI-PP)(N)(M)(26)(46)//SFM AE 100, ASTAXANTINA 10% 90,000 PPM, QUINAFISH (B EMAMECTINA) 3,200 KGT"/>
    <n v="6012525541"/>
    <s v="AUSTRALIS-MORALEDA"/>
    <x v="0"/>
    <d v="2024-06-11T00:00:00"/>
    <d v="2024-06-03T00:00:00"/>
    <x v="4"/>
    <n v="6"/>
    <n v="2"/>
    <n v="8"/>
    <s v="QUELLON"/>
    <s v="MEDICADO"/>
    <s v="MAXISACO 1250 KILOS"/>
    <n v="11250"/>
    <n v="11250"/>
    <n v="11250"/>
  </r>
  <r>
    <n v="7692563"/>
    <s v="(XI-PP)(N)(M)(30)(42)//SFM AE 500, ASTAXANTINA 10% 90,000 PPM, QUINAFISH (B EMAMECTINA) 3,200 KGT"/>
    <n v="6012525944"/>
    <s v="AUSTRALIS-MORALEDA"/>
    <x v="4"/>
    <d v="2024-06-11T00:00:00"/>
    <d v="2024-06-03T00:00:00"/>
    <x v="4"/>
    <n v="6"/>
    <n v="2"/>
    <n v="8"/>
    <s v="QUELLON"/>
    <s v="MEDICADO"/>
    <s v="MAXISACO 1250 KILOS"/>
    <n v="33750"/>
    <n v="33750"/>
    <n v="33750"/>
  </r>
  <r>
    <n v="7692782"/>
    <s v="(-)(N)(M)(36)(39)//EXPLORADOR XG 1000 - MW, ASTAXANTINA 10% 80,000 PPM, SKIN PACK MOWI 1,000 PKT, PAQ - XTRACT 1,500 KGT"/>
    <n v="6012531204"/>
    <s v="MOWI CHILE-PUNTA APIAO"/>
    <x v="3"/>
    <d v="2024-06-18T00:00:00"/>
    <d v="2024-06-14T00:00:00"/>
    <x v="2"/>
    <n v="2"/>
    <n v="2"/>
    <n v="4"/>
    <s v="CASTRO"/>
    <s v="NORMAL"/>
    <s v="MAXISACO 1250 KILOS"/>
    <n v="26250"/>
    <n v="136250"/>
    <m/>
  </r>
  <r>
    <n v="7692782"/>
    <s v="(-)(N)(M)(36)(39)//EXPLORADOR XG 1000 - MW, ASTAXANTINA 10% 80,000 PPM, SKIN PACK MOWI 1,000 PKT, PAQ - XTRACT 1,500 KGT"/>
    <n v="6012531936"/>
    <s v="MOWI CHILE-PUNTA APIAO"/>
    <x v="3"/>
    <d v="2024-07-06T00:00:00"/>
    <d v="2024-07-02T00:00:00"/>
    <x v="2"/>
    <n v="2"/>
    <n v="2"/>
    <n v="4"/>
    <s v="CASTRO"/>
    <s v="NORMAL"/>
    <s v="MAXISACO 1250 KILOS"/>
    <n v="0"/>
    <n v="110000"/>
    <m/>
  </r>
  <r>
    <n v="7692924"/>
    <s v="(X-TERRESTRE)(N)(M)(38)(37,5)//SFM XG 2000 - MW, ASTAXANTINA 10% 80,000 PPM, VETERIN 80% Florfenicol - Centrovet 3,500 KGT"/>
    <n v="6012529023"/>
    <s v="MOWI CHILE S.A."/>
    <x v="5"/>
    <d v="2024-06-07T00:00:00"/>
    <d v="2024-06-03T00:00:00"/>
    <x v="2"/>
    <n v="2"/>
    <n v="2"/>
    <n v="4"/>
    <s v="CASTRO"/>
    <s v="MEDICADO"/>
    <s v="MAXISACO 1250 KILOS"/>
    <n v="115000"/>
    <n v="115000"/>
    <n v="115000"/>
  </r>
  <r>
    <n v="7662013"/>
    <s v="(0-0)(N)(B)(22)(42)//TR-2242-06"/>
    <n v="6012536782"/>
    <s v="BEIJING BIO-TECH CO. LTD"/>
    <x v="4"/>
    <d v="2024-06-19T00:00:00"/>
    <d v="2024-06-17T00:00:00"/>
    <x v="6"/>
    <m/>
    <n v="2"/>
    <n v="2"/>
    <m/>
    <s v="NORMAL"/>
    <s v="BOLSA 25 KILOS"/>
    <n v="46000"/>
    <n v="46000"/>
    <m/>
  </r>
  <r>
    <n v="7662014"/>
    <s v="(0-0)(N)(B)(22)(42)//TR-2242-09"/>
    <n v="6012537930"/>
    <s v="BEIJING BIO-TECH CO. LTD"/>
    <x v="3"/>
    <d v="2024-06-19T00:00:00"/>
    <d v="2024-06-17T00:00:00"/>
    <x v="6"/>
    <m/>
    <n v="2"/>
    <n v="2"/>
    <m/>
    <s v="NORMAL"/>
    <s v="BOLSA 25 KILOS"/>
    <n v="78000"/>
    <n v="78000"/>
    <m/>
  </r>
  <r>
    <n v="7662011"/>
    <s v="(0-0)(N)(B)(20)(44)//TR-2242-03"/>
    <n v="6012537985"/>
    <s v="BEIJING BIO-TECH CO. LTD"/>
    <x v="2"/>
    <d v="2024-06-19T00:00:00"/>
    <d v="2024-06-17T00:00:00"/>
    <x v="6"/>
    <m/>
    <n v="2"/>
    <n v="2"/>
    <m/>
    <s v="NORMAL"/>
    <s v="BOLSA 25 KILOS"/>
    <n v="6000"/>
    <n v="6000"/>
    <m/>
  </r>
  <r>
    <n v="7692560"/>
    <s v="(-)(N)(M)(39,5)(37)//EXPLORADOR XG 3000, ASTAXANTINA 10% 90,000 PPM"/>
    <n v="6012538465"/>
    <s v="AUSTRALIS-PUNTA LAUCA"/>
    <x v="5"/>
    <d v="2024-06-25T00:00:00"/>
    <d v="2024-06-22T00:00:00"/>
    <x v="4"/>
    <n v="1"/>
    <n v="2"/>
    <n v="3"/>
    <s v="CONTINENTE"/>
    <s v="NORMAL"/>
    <s v="MAXISACO 1250 KILOS"/>
    <n v="0"/>
    <n v="60000"/>
    <m/>
  </r>
  <r>
    <n v="7692862"/>
    <s v="(-)(N)(M)(38)(37,5)//SFM XG 2009 - CQ, ASTAXANTINA 10% 80,000 PPM, DUFLOSAN 50% (FLORFENICOL) 6,000 KGT"/>
    <n v="6012540641"/>
    <s v="CERMAQ CHILE S.A."/>
    <x v="3"/>
    <d v="2024-06-19T00:00:00"/>
    <d v="2024-06-17T00:00:00"/>
    <x v="3"/>
    <m/>
    <n v="2"/>
    <n v="2"/>
    <s v="CASTRO"/>
    <s v="MEDICADO"/>
    <s v="MAXISACO 1250 KILOS"/>
    <n v="13750"/>
    <n v="13750"/>
    <m/>
  </r>
  <r>
    <n v="7600154"/>
    <s v="(X-PP)(N)(M)(39,5)(37)//EXPLORADOR XG 3000 -VTQ, ASTAXANTINA 10% 80,000 PPM, KOMBO SHIELD 5,000 L"/>
    <n v="6012541587"/>
    <s v="PROD.VENTISQUEROS-LINGUAR"/>
    <x v="5"/>
    <d v="2024-06-15T00:00:00"/>
    <d v="2024-06-10T00:00:00"/>
    <x v="1"/>
    <n v="3"/>
    <n v="2"/>
    <n v="5"/>
    <s v="CASTRO"/>
    <s v="NORMAL"/>
    <s v="MAXISACO 1250 KILOS"/>
    <n v="25000"/>
    <n v="75000"/>
    <m/>
  </r>
  <r>
    <n v="7692924"/>
    <s v="(-)(N)(M)(38)(37,5)//SFM XG 2000 - MW, ASTAXANTINA 10% 70,000 PPM, VETERIN 80% Florfenicol - Centrovet 4,700 KGT"/>
    <n v="6012538488"/>
    <s v="MOWI CHILE-HUELMO"/>
    <x v="5"/>
    <d v="2024-06-12T00:00:00"/>
    <d v="2024-06-07T00:00:00"/>
    <x v="2"/>
    <n v="3"/>
    <n v="2"/>
    <n v="5"/>
    <s v="CALBUCO"/>
    <s v="MEDICADO"/>
    <s v="MAXISACO 1250 KILOS"/>
    <n v="22500"/>
    <n v="22500"/>
    <m/>
  </r>
  <r>
    <n v="7692924"/>
    <s v="(-)(N)(M)(38)(37,5)//SFM XG 2000 - MW, ASTAXANTINA 10% 70,000 PPM, VETERIN 80% Florfenicol - Centrovet 4,700 KGT"/>
    <n v="6012540813"/>
    <s v="MOWI CHILE-HUELMO"/>
    <x v="5"/>
    <d v="2024-06-14T00:00:00"/>
    <d v="2024-06-09T00:00:00"/>
    <x v="2"/>
    <n v="3"/>
    <n v="2"/>
    <n v="5"/>
    <s v="CALBUCO"/>
    <s v="MEDICADO"/>
    <s v="MAXISACO 1250 KILOS"/>
    <n v="38750"/>
    <n v="38750"/>
    <m/>
  </r>
  <r>
    <n v="7692858"/>
    <s v="(-)(N)(M)(29,5)(46)//SFM XG 250 - CQ, ASTAXANTINA 10% 80,000 PPM, DUFLOSAN 50% (FLORFENICOL) 3,000 KGT"/>
    <n v="6012540805"/>
    <s v="CERMAQ CHILE S.A."/>
    <x v="0"/>
    <d v="2024-06-20T00:00:00"/>
    <d v="2024-06-18T00:00:00"/>
    <x v="3"/>
    <m/>
    <n v="2"/>
    <n v="2"/>
    <s v="CASTRO"/>
    <s v="MEDICADO"/>
    <s v="MAXISACO 1250 KILOS"/>
    <n v="25000"/>
    <n v="25000"/>
    <m/>
  </r>
  <r>
    <n v="7652041"/>
    <s v="(-)(N)(M)(22)(48)//VITACARE TRAN 60, ASTAXANTINA 10% 60,000 PPM, VIRAL 1,000 PKT"/>
    <n v="6012543568"/>
    <s v="VITAPRO CHILE S.A."/>
    <x v="2"/>
    <d v="2024-06-20T00:00:00"/>
    <d v="2024-06-18T00:00:00"/>
    <x v="7"/>
    <m/>
    <n v="2"/>
    <n v="2"/>
    <m/>
    <s v="NORMAL"/>
    <s v="MAXISACO 500 KILOS"/>
    <n v="15000"/>
    <n v="15000"/>
    <m/>
  </r>
  <r>
    <n v="7692923"/>
    <s v="(-)(N)(M)(35)(39)//SFM XG 1000 - MW, ASTAXANTINA 10% 80,000 PPM, QUINAFISH (B EMAMECTINA) 5,000 KGT, SKIN PACK MOWI 1,000 PKT, PAQ - XTRACT 1,500 KGT"/>
    <n v="6012544658"/>
    <s v="MOWI CHILE-PUNTA APIAO"/>
    <x v="3"/>
    <d v="2024-06-21T00:00:00"/>
    <d v="2024-06-17T00:00:00"/>
    <x v="2"/>
    <n v="2"/>
    <n v="2"/>
    <n v="4"/>
    <s v="CASTRO"/>
    <s v="MEDICADO"/>
    <s v="MAXISACO 1250 KILOS"/>
    <n v="66250"/>
    <n v="20625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04E8DF-2686-43A3-BC30-2F351AD95A4B}" name="TablaDinámica2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compact="0" compactData="0" gridDropZones="1" multipleFieldFilters="0">
  <location ref="A19:B23" firstHeaderRow="2" firstDataRow="2" firstDataCol="1" rowPageCount="1" colPageCount="1"/>
  <pivotFields count="16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10">
        <item x="4"/>
        <item x="3"/>
        <item x="5"/>
        <item x="2"/>
        <item x="1"/>
        <item x="0"/>
        <item m="1" x="8"/>
        <item x="6"/>
        <item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dataField="1" compact="0" numFmtId="3" outline="0" showAll="0"/>
    <pivotField compact="0" numFmtId="3" outline="0" showAll="0"/>
  </pivotFields>
  <rowFields count="1">
    <field x="12"/>
  </rowFields>
  <rowItems count="3">
    <i>
      <x/>
    </i>
    <i>
      <x v="1"/>
    </i>
    <i t="grand">
      <x/>
    </i>
  </rowItems>
  <colItems count="1">
    <i/>
  </colItems>
  <pageFields count="1">
    <pageField fld="7" hier="-1"/>
  </pageFields>
  <dataFields count="1">
    <dataField name="Suma de CANTIDAD SELECCIONADA" fld="14" baseField="0" baseItem="0"/>
  </dataFields>
  <formats count="3">
    <format dxfId="9">
      <pivotArea outline="0" collapsedLevelsAreSubtotals="1" fieldPosition="0"/>
    </format>
    <format dxfId="8">
      <pivotArea outline="0" collapsedLevelsAreSubtotals="1" fieldPosition="0"/>
    </format>
    <format dxfId="7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15852-1D78-4C47-B27D-3079311AD98B}" name="TablaDinámica3" cacheId="9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compact="0" compactData="0" gridDropZones="1" multipleFieldFilters="0">
  <location ref="A31:B39" firstHeaderRow="2" firstDataRow="2" firstDataCol="1" rowPageCount="1" colPageCount="1"/>
  <pivotFields count="17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7">
        <item x="3"/>
        <item x="5"/>
        <item x="0"/>
        <item x="4"/>
        <item x="2"/>
        <item x="1"/>
        <item t="default"/>
      </items>
    </pivotField>
    <pivotField compact="0" outline="0" showAll="0"/>
    <pivotField compact="0" outline="0" showAll="0"/>
    <pivotField axis="axisPage" compact="0" outline="0" multipleItemSelectionAllowed="1" showAll="0">
      <items count="10">
        <item x="4"/>
        <item x="3"/>
        <item x="5"/>
        <item x="2"/>
        <item x="1"/>
        <item x="0"/>
        <item m="1" x="8"/>
        <item x="6"/>
        <item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3" outline="0" showAll="0"/>
    <pivotField compact="0" numFmtId="3" outline="0" showAll="0"/>
    <pivotField compact="0" outline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7" hier="-1"/>
  </pageFields>
  <dataFields count="1">
    <dataField name="Suma de CANTIDAD SELECCIONADA" fld="14" baseField="0" baseItem="0"/>
  </dataFields>
  <formats count="6">
    <format dxfId="15">
      <pivotArea outline="0" collapsedLevelsAreSubtotals="1" fieldPosition="0"/>
    </format>
    <format dxfId="14">
      <pivotArea field="4" type="button" dataOnly="0" labelOnly="1" outline="0" axis="axisRow" fieldPosition="0"/>
    </format>
    <format dxfId="13">
      <pivotArea dataOnly="0" labelOnly="1" outline="0" fieldPosition="0">
        <references count="1">
          <reference field="4" count="0"/>
        </references>
      </pivotArea>
    </format>
    <format dxfId="12">
      <pivotArea dataOnly="0" labelOnly="1" grandRow="1" outline="0" fieldPosition="0"/>
    </format>
    <format dxfId="11">
      <pivotArea outline="0" collapsedLevelsAreSubtotals="1" fieldPosition="0"/>
    </format>
    <format dxfId="10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E8F9F8-C2F5-4D19-86FB-72E57E2D71B4}" name="TablaDinámica22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2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3"/>
        <item x="5"/>
        <item x="1"/>
        <item x="2"/>
        <item x="4"/>
        <item x="0"/>
        <item m="1" x="8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3" showAll="0"/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Items count="1">
    <i/>
  </colItems>
  <dataFields count="1">
    <dataField name="Suma de CANTIDAD SELECCIONADA" fld="14" baseField="7" baseItem="0"/>
  </dataFields>
  <formats count="4">
    <format dxfId="19">
      <pivotArea dataOnly="0" labelOnly="1" outline="0" axis="axisValues" fieldPosition="0"/>
    </format>
    <format dxfId="18">
      <pivotArea outline="0" collapsedLevelsAreSubtotals="1" fieldPosition="0"/>
    </format>
    <format dxfId="17">
      <pivotArea dataOnly="0" labelOnly="1" outline="0" axis="axisValues" fieldPosition="0"/>
    </format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B9CDF-67E7-4E7B-B01D-B027DA7EE728}">
  <sheetPr codeName="Hoja1"/>
  <dimension ref="A1:BM120"/>
  <sheetViews>
    <sheetView zoomScale="60" zoomScaleNormal="60" workbookViewId="0">
      <selection activeCell="B66" sqref="B66"/>
    </sheetView>
  </sheetViews>
  <sheetFormatPr baseColWidth="10" defaultColWidth="11.42578125" defaultRowHeight="15" x14ac:dyDescent="0.25"/>
  <cols>
    <col min="1" max="1" width="12.42578125" style="2" customWidth="1"/>
    <col min="2" max="2" width="77.85546875" customWidth="1"/>
    <col min="3" max="3" width="15.42578125" style="2" hidden="1" customWidth="1"/>
    <col min="4" max="4" width="47" hidden="1" customWidth="1"/>
    <col min="5" max="5" width="16.140625" hidden="1" customWidth="1"/>
    <col min="6" max="6" width="16.140625" style="2" hidden="1" customWidth="1"/>
    <col min="7" max="7" width="21.5703125" hidden="1" customWidth="1"/>
    <col min="8" max="8" width="11.42578125" customWidth="1"/>
    <col min="9" max="9" width="16.140625" style="2" customWidth="1"/>
    <col min="10" max="10" width="14.5703125" style="2" customWidth="1"/>
    <col min="11" max="11" width="18.85546875" style="2" customWidth="1"/>
    <col min="12" max="12" width="21.140625" style="2" customWidth="1"/>
    <col min="13" max="13" width="18.28515625" customWidth="1"/>
    <col min="14" max="14" width="16.42578125" customWidth="1"/>
    <col min="15" max="15" width="24.7109375" customWidth="1"/>
    <col min="16" max="16" width="19.5703125" customWidth="1"/>
    <col min="17" max="17" width="22.140625" style="2" customWidth="1"/>
    <col min="18" max="18" width="15.85546875" style="2" customWidth="1"/>
    <col min="19" max="27" width="16.140625" style="2" customWidth="1"/>
    <col min="28" max="29" width="15.85546875" style="2" customWidth="1"/>
    <col min="30" max="37" width="16.140625" style="2" customWidth="1"/>
    <col min="38" max="38" width="15.85546875" style="2" customWidth="1"/>
    <col min="39" max="39" width="15.5703125" style="2" customWidth="1"/>
    <col min="40" max="44" width="15.85546875" style="2" customWidth="1"/>
    <col min="45" max="47" width="15.85546875" style="2" bestFit="1" customWidth="1"/>
    <col min="48" max="48" width="16.140625" style="2" bestFit="1" customWidth="1"/>
    <col min="49" max="49" width="15.85546875" style="2" bestFit="1" customWidth="1"/>
    <col min="50" max="58" width="16.140625" style="2" bestFit="1" customWidth="1"/>
    <col min="59" max="59" width="15.85546875" style="2" bestFit="1" customWidth="1"/>
    <col min="60" max="60" width="16.140625" style="2" bestFit="1" customWidth="1"/>
    <col min="61" max="62" width="15.42578125" style="2" bestFit="1" customWidth="1"/>
    <col min="63" max="63" width="14.85546875" style="2" bestFit="1" customWidth="1"/>
    <col min="64" max="64" width="23" style="2" bestFit="1" customWidth="1"/>
    <col min="65" max="65" width="14.85546875" style="2" bestFit="1" customWidth="1"/>
    <col min="66" max="16384" width="11.42578125" style="2"/>
  </cols>
  <sheetData>
    <row r="1" spans="1:65" ht="26.25" x14ac:dyDescent="0.4">
      <c r="Q1" s="13" t="s">
        <v>44</v>
      </c>
    </row>
    <row r="2" spans="1:65" ht="15.75" thickBot="1" x14ac:dyDescent="0.3">
      <c r="O2" s="3">
        <f t="shared" ref="O2:AT2" si="0">SUM(O4:O64)</f>
        <v>2052700</v>
      </c>
      <c r="P2" s="3">
        <f t="shared" si="0"/>
        <v>5105450</v>
      </c>
      <c r="Q2" s="3">
        <f t="shared" si="0"/>
        <v>160000</v>
      </c>
      <c r="R2" s="3">
        <f t="shared" si="0"/>
        <v>0</v>
      </c>
      <c r="S2" s="3">
        <f t="shared" si="0"/>
        <v>0</v>
      </c>
      <c r="T2" s="3">
        <f t="shared" si="0"/>
        <v>72500</v>
      </c>
      <c r="U2" s="3">
        <f t="shared" si="0"/>
        <v>13750</v>
      </c>
      <c r="V2" s="3">
        <f t="shared" si="0"/>
        <v>0</v>
      </c>
      <c r="W2" s="3">
        <f t="shared" si="0"/>
        <v>53750</v>
      </c>
      <c r="X2" s="3">
        <f t="shared" si="0"/>
        <v>156250</v>
      </c>
      <c r="Y2" s="3">
        <f t="shared" si="0"/>
        <v>0</v>
      </c>
      <c r="Z2" s="3">
        <f t="shared" si="0"/>
        <v>75000</v>
      </c>
      <c r="AA2" s="3">
        <f t="shared" si="0"/>
        <v>88950</v>
      </c>
      <c r="AB2" s="3">
        <f t="shared" si="0"/>
        <v>147500</v>
      </c>
      <c r="AC2" s="3">
        <f t="shared" si="0"/>
        <v>276250</v>
      </c>
      <c r="AD2" s="3">
        <f t="shared" si="0"/>
        <v>335000</v>
      </c>
      <c r="AE2" s="3">
        <f>SUM(AE4:AE64)</f>
        <v>493750</v>
      </c>
      <c r="AF2" s="3">
        <f>SUM(AF4:AF64)</f>
        <v>180000</v>
      </c>
      <c r="AG2" s="3">
        <f>SUM(AG4:AG64)</f>
        <v>256250</v>
      </c>
      <c r="AH2" s="3">
        <f>SUM(AH4:AH64)</f>
        <v>110000</v>
      </c>
      <c r="AI2" s="3">
        <f t="shared" si="0"/>
        <v>450000</v>
      </c>
      <c r="AJ2" s="3">
        <f t="shared" si="0"/>
        <v>403750</v>
      </c>
      <c r="AK2" s="3">
        <f t="shared" si="0"/>
        <v>83750</v>
      </c>
      <c r="AL2" s="3">
        <f t="shared" si="0"/>
        <v>290000</v>
      </c>
      <c r="AM2" s="3">
        <f>SUM(AM4:AM64)</f>
        <v>894000</v>
      </c>
      <c r="AN2" s="3">
        <f t="shared" si="0"/>
        <v>55000</v>
      </c>
      <c r="AO2" s="3">
        <f t="shared" si="0"/>
        <v>20000</v>
      </c>
      <c r="AP2" s="3">
        <f t="shared" si="0"/>
        <v>60000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140000</v>
      </c>
      <c r="AU2" s="3">
        <f t="shared" ref="AU2:BM2" si="1">SUM(AU4:AU64)</f>
        <v>0</v>
      </c>
      <c r="AV2" s="3">
        <f t="shared" si="1"/>
        <v>20000</v>
      </c>
      <c r="AW2" s="3">
        <f t="shared" si="1"/>
        <v>0</v>
      </c>
      <c r="AX2" s="3">
        <f t="shared" si="1"/>
        <v>60000</v>
      </c>
      <c r="AY2" s="3">
        <f t="shared" si="1"/>
        <v>0</v>
      </c>
      <c r="AZ2" s="3">
        <f t="shared" si="1"/>
        <v>0</v>
      </c>
      <c r="BA2" s="3">
        <f t="shared" si="1"/>
        <v>100000</v>
      </c>
      <c r="BB2" s="3">
        <f t="shared" si="1"/>
        <v>0</v>
      </c>
      <c r="BC2" s="3">
        <f t="shared" si="1"/>
        <v>20000</v>
      </c>
      <c r="BD2" s="3">
        <f t="shared" si="1"/>
        <v>60000</v>
      </c>
      <c r="BE2" s="3">
        <f t="shared" si="1"/>
        <v>0</v>
      </c>
      <c r="BF2" s="3">
        <f t="shared" si="1"/>
        <v>0</v>
      </c>
      <c r="BG2" s="3">
        <f t="shared" si="1"/>
        <v>0</v>
      </c>
      <c r="BH2" s="3">
        <f t="shared" si="1"/>
        <v>0</v>
      </c>
      <c r="BI2" s="3">
        <f t="shared" si="1"/>
        <v>0</v>
      </c>
      <c r="BJ2" s="3">
        <f t="shared" si="1"/>
        <v>30000</v>
      </c>
      <c r="BK2" s="3">
        <f t="shared" si="1"/>
        <v>0</v>
      </c>
      <c r="BL2" s="3">
        <f t="shared" si="1"/>
        <v>0</v>
      </c>
      <c r="BM2" s="3">
        <f t="shared" si="1"/>
        <v>0</v>
      </c>
    </row>
    <row r="3" spans="1:65" ht="42" customHeight="1" x14ac:dyDescent="0.25">
      <c r="A3" s="9" t="s">
        <v>0</v>
      </c>
      <c r="B3" s="9" t="s">
        <v>1</v>
      </c>
      <c r="C3" s="9" t="s">
        <v>2</v>
      </c>
      <c r="D3" s="10" t="s">
        <v>46</v>
      </c>
      <c r="E3" s="9" t="s">
        <v>3</v>
      </c>
      <c r="F3" s="8" t="s">
        <v>56</v>
      </c>
      <c r="G3" s="8" t="s">
        <v>61</v>
      </c>
      <c r="H3" s="10" t="s">
        <v>47</v>
      </c>
      <c r="I3" s="8" t="s">
        <v>14</v>
      </c>
      <c r="J3" s="8" t="s">
        <v>42</v>
      </c>
      <c r="K3" s="8" t="s">
        <v>43</v>
      </c>
      <c r="L3" s="8" t="s">
        <v>97</v>
      </c>
      <c r="M3" s="9" t="s">
        <v>13</v>
      </c>
      <c r="N3" s="9" t="s">
        <v>4</v>
      </c>
      <c r="O3" s="8" t="s">
        <v>53</v>
      </c>
      <c r="P3" s="16" t="s">
        <v>41</v>
      </c>
      <c r="Q3" s="17">
        <v>45446</v>
      </c>
      <c r="R3" s="18">
        <v>45447</v>
      </c>
      <c r="S3" s="18">
        <v>45448</v>
      </c>
      <c r="T3" s="18">
        <v>45449</v>
      </c>
      <c r="U3" s="18">
        <v>45450</v>
      </c>
      <c r="V3" s="18">
        <v>45451</v>
      </c>
      <c r="W3" s="19">
        <v>45452</v>
      </c>
      <c r="X3" s="17">
        <v>45453</v>
      </c>
      <c r="Y3" s="18">
        <v>45454</v>
      </c>
      <c r="Z3" s="18">
        <v>45455</v>
      </c>
      <c r="AA3" s="18">
        <v>45456</v>
      </c>
      <c r="AB3" s="18">
        <v>45457</v>
      </c>
      <c r="AC3" s="18">
        <v>45458</v>
      </c>
      <c r="AD3" s="19">
        <v>45459</v>
      </c>
      <c r="AE3" s="17">
        <v>45460</v>
      </c>
      <c r="AF3" s="18">
        <v>45461</v>
      </c>
      <c r="AG3" s="18">
        <v>45462</v>
      </c>
      <c r="AH3" s="18">
        <v>45463</v>
      </c>
      <c r="AI3" s="18">
        <v>45464</v>
      </c>
      <c r="AJ3" s="18">
        <v>45465</v>
      </c>
      <c r="AK3" s="19">
        <v>45466</v>
      </c>
      <c r="AL3" s="17">
        <v>45467</v>
      </c>
      <c r="AM3" s="18">
        <v>45468</v>
      </c>
      <c r="AN3" s="18">
        <v>45469</v>
      </c>
      <c r="AO3" s="18">
        <v>45470</v>
      </c>
      <c r="AP3" s="18">
        <v>45471</v>
      </c>
      <c r="AQ3" s="18">
        <v>45472</v>
      </c>
      <c r="AR3" s="19">
        <v>45473</v>
      </c>
      <c r="AS3" s="17">
        <v>45474</v>
      </c>
      <c r="AT3" s="18">
        <v>45475</v>
      </c>
      <c r="AU3" s="18">
        <v>45476</v>
      </c>
      <c r="AV3" s="18">
        <v>45477</v>
      </c>
      <c r="AW3" s="18">
        <v>45478</v>
      </c>
      <c r="AX3" s="18">
        <v>45479</v>
      </c>
      <c r="AY3" s="19">
        <v>45480</v>
      </c>
      <c r="AZ3" s="17">
        <v>45481</v>
      </c>
      <c r="BA3" s="18">
        <v>45482</v>
      </c>
      <c r="BB3" s="18">
        <v>45483</v>
      </c>
      <c r="BC3" s="18">
        <v>45484</v>
      </c>
      <c r="BD3" s="18">
        <v>45485</v>
      </c>
      <c r="BE3" s="18">
        <v>45486</v>
      </c>
      <c r="BF3" s="19">
        <v>45487</v>
      </c>
      <c r="BG3" s="17">
        <v>45488</v>
      </c>
      <c r="BH3" s="18">
        <v>45489</v>
      </c>
      <c r="BI3" s="18">
        <v>45490</v>
      </c>
      <c r="BJ3" s="18">
        <v>45491</v>
      </c>
      <c r="BK3" s="18">
        <v>45492</v>
      </c>
      <c r="BL3" s="18">
        <v>45493</v>
      </c>
      <c r="BM3" s="19">
        <v>45494</v>
      </c>
    </row>
    <row r="4" spans="1:65" x14ac:dyDescent="0.25">
      <c r="A4" s="2">
        <v>7692883</v>
      </c>
      <c r="B4" t="s">
        <v>33</v>
      </c>
      <c r="C4" s="2">
        <v>6012432903</v>
      </c>
      <c r="D4" t="s">
        <v>34</v>
      </c>
      <c r="E4" s="2">
        <v>4</v>
      </c>
      <c r="F4" s="14">
        <v>45470</v>
      </c>
      <c r="G4" s="14">
        <f>F4-K4</f>
        <v>45468</v>
      </c>
      <c r="H4" t="s">
        <v>90</v>
      </c>
      <c r="I4" s="12"/>
      <c r="J4" s="12">
        <v>2</v>
      </c>
      <c r="K4" s="12">
        <f t="shared" ref="K4:K35" si="2">I4+J4</f>
        <v>2</v>
      </c>
      <c r="L4" s="12"/>
      <c r="M4" s="2" t="s">
        <v>5</v>
      </c>
      <c r="N4" s="5" t="s">
        <v>29</v>
      </c>
      <c r="O4" s="3">
        <f>SUM(Q4:AF4)</f>
        <v>0</v>
      </c>
      <c r="P4" s="3">
        <f>SUM(Q4:BM4)</f>
        <v>104000</v>
      </c>
      <c r="Q4" s="30"/>
      <c r="R4" s="31"/>
      <c r="S4" s="31"/>
      <c r="T4" s="31"/>
      <c r="U4" s="31"/>
      <c r="V4" s="31"/>
      <c r="W4" s="32"/>
      <c r="X4" s="30"/>
      <c r="Y4" s="31"/>
      <c r="Z4" s="31"/>
      <c r="AA4" s="31"/>
      <c r="AB4" s="31"/>
      <c r="AC4" s="31"/>
      <c r="AD4" s="32"/>
      <c r="AE4" s="30"/>
      <c r="AF4" s="31"/>
      <c r="AG4" s="21"/>
      <c r="AH4" s="21"/>
      <c r="AI4" s="21"/>
      <c r="AJ4" s="21"/>
      <c r="AK4" s="22"/>
      <c r="AL4" s="20"/>
      <c r="AM4" s="21">
        <v>104000</v>
      </c>
      <c r="AN4" s="21"/>
      <c r="AO4" s="23"/>
      <c r="AP4" s="21"/>
      <c r="AQ4" s="21"/>
      <c r="AR4" s="22"/>
      <c r="AS4" s="20"/>
      <c r="AT4" s="21"/>
      <c r="AU4" s="21"/>
      <c r="AV4" s="21"/>
      <c r="AW4" s="21"/>
      <c r="AX4" s="21"/>
      <c r="AY4" s="22"/>
      <c r="AZ4" s="20"/>
      <c r="BA4" s="21"/>
      <c r="BB4" s="21"/>
      <c r="BC4" s="21"/>
      <c r="BD4" s="21"/>
      <c r="BE4" s="21"/>
      <c r="BF4" s="22"/>
      <c r="BG4" s="20"/>
      <c r="BH4" s="21"/>
      <c r="BI4" s="21"/>
      <c r="BJ4" s="21"/>
      <c r="BK4" s="21"/>
      <c r="BL4" s="21"/>
      <c r="BM4" s="22"/>
    </row>
    <row r="5" spans="1:65" x14ac:dyDescent="0.25">
      <c r="A5" s="2">
        <v>7692887</v>
      </c>
      <c r="B5" t="s">
        <v>35</v>
      </c>
      <c r="C5" s="2">
        <v>6012433361</v>
      </c>
      <c r="D5" t="s">
        <v>34</v>
      </c>
      <c r="E5" s="2">
        <v>2</v>
      </c>
      <c r="F5" s="14">
        <v>45470</v>
      </c>
      <c r="G5" s="14">
        <f>F5-K5</f>
        <v>45468</v>
      </c>
      <c r="H5" t="s">
        <v>90</v>
      </c>
      <c r="I5" s="12"/>
      <c r="J5" s="12">
        <v>2</v>
      </c>
      <c r="K5" s="12">
        <f t="shared" si="2"/>
        <v>2</v>
      </c>
      <c r="L5" s="12"/>
      <c r="M5" s="2" t="s">
        <v>5</v>
      </c>
      <c r="N5" s="5" t="s">
        <v>29</v>
      </c>
      <c r="O5" s="3">
        <f t="shared" ref="O5:O64" si="3">SUM(Q5:AF5)</f>
        <v>0</v>
      </c>
      <c r="P5" s="3">
        <f>SUM(Q5:BM5)</f>
        <v>26000</v>
      </c>
      <c r="Q5" s="30"/>
      <c r="R5" s="31"/>
      <c r="S5" s="31"/>
      <c r="T5" s="31"/>
      <c r="U5" s="31"/>
      <c r="V5" s="31"/>
      <c r="W5" s="32"/>
      <c r="X5" s="30"/>
      <c r="Y5" s="31"/>
      <c r="Z5" s="31"/>
      <c r="AA5" s="31"/>
      <c r="AB5" s="31"/>
      <c r="AC5" s="31"/>
      <c r="AD5" s="32"/>
      <c r="AE5" s="30"/>
      <c r="AF5" s="31"/>
      <c r="AG5" s="21"/>
      <c r="AH5" s="21"/>
      <c r="AI5" s="21"/>
      <c r="AJ5" s="21"/>
      <c r="AK5" s="22"/>
      <c r="AL5" s="20"/>
      <c r="AM5" s="21">
        <v>26000</v>
      </c>
      <c r="AN5" s="21"/>
      <c r="AO5" s="23"/>
      <c r="AP5" s="21"/>
      <c r="AQ5" s="21"/>
      <c r="AR5" s="22"/>
      <c r="AS5" s="20"/>
      <c r="AT5" s="21"/>
      <c r="AU5" s="21"/>
      <c r="AV5" s="21"/>
      <c r="AW5" s="21"/>
      <c r="AX5" s="21"/>
      <c r="AY5" s="22"/>
      <c r="AZ5" s="20"/>
      <c r="BA5" s="21"/>
      <c r="BB5" s="21"/>
      <c r="BC5" s="21"/>
      <c r="BD5" s="21"/>
      <c r="BE5" s="21"/>
      <c r="BF5" s="22"/>
      <c r="BG5" s="20"/>
      <c r="BH5" s="21"/>
      <c r="BI5" s="21"/>
      <c r="BJ5" s="21"/>
      <c r="BK5" s="21"/>
      <c r="BL5" s="21"/>
      <c r="BM5" s="22"/>
    </row>
    <row r="6" spans="1:65" x14ac:dyDescent="0.25">
      <c r="A6" s="2">
        <v>7692888</v>
      </c>
      <c r="B6" t="s">
        <v>36</v>
      </c>
      <c r="C6" s="2">
        <v>6012433458</v>
      </c>
      <c r="D6" t="s">
        <v>34</v>
      </c>
      <c r="E6" s="2">
        <v>3</v>
      </c>
      <c r="F6" s="14">
        <v>45470</v>
      </c>
      <c r="G6" s="14">
        <f>F6-K6</f>
        <v>45468</v>
      </c>
      <c r="H6" t="s">
        <v>90</v>
      </c>
      <c r="I6" s="12"/>
      <c r="J6" s="12">
        <v>2</v>
      </c>
      <c r="K6" s="12">
        <f t="shared" si="2"/>
        <v>2</v>
      </c>
      <c r="L6" s="12"/>
      <c r="M6" s="2" t="s">
        <v>5</v>
      </c>
      <c r="N6" s="5" t="s">
        <v>29</v>
      </c>
      <c r="O6" s="3">
        <f t="shared" si="3"/>
        <v>0</v>
      </c>
      <c r="P6" s="3">
        <f>SUM(Q6:BM6)</f>
        <v>52000</v>
      </c>
      <c r="Q6" s="30"/>
      <c r="R6" s="31"/>
      <c r="S6" s="31"/>
      <c r="T6" s="31"/>
      <c r="U6" s="31"/>
      <c r="V6" s="31"/>
      <c r="W6" s="32"/>
      <c r="X6" s="30"/>
      <c r="Y6" s="31"/>
      <c r="Z6" s="31"/>
      <c r="AA6" s="31"/>
      <c r="AB6" s="31"/>
      <c r="AC6" s="31"/>
      <c r="AD6" s="32"/>
      <c r="AE6" s="30"/>
      <c r="AF6" s="31"/>
      <c r="AG6" s="21"/>
      <c r="AH6" s="21"/>
      <c r="AI6" s="21"/>
      <c r="AJ6" s="21"/>
      <c r="AK6" s="22"/>
      <c r="AL6" s="20"/>
      <c r="AM6" s="21">
        <v>52000</v>
      </c>
      <c r="AN6" s="21"/>
      <c r="AO6" s="23"/>
      <c r="AP6" s="21"/>
      <c r="AQ6" s="21"/>
      <c r="AR6" s="22"/>
      <c r="AS6" s="20"/>
      <c r="AT6" s="21"/>
      <c r="AU6" s="21"/>
      <c r="AV6" s="21"/>
      <c r="AW6" s="21"/>
      <c r="AX6" s="21"/>
      <c r="AY6" s="22"/>
      <c r="AZ6" s="20"/>
      <c r="BA6" s="21"/>
      <c r="BB6" s="21"/>
      <c r="BC6" s="21"/>
      <c r="BD6" s="21"/>
      <c r="BE6" s="21"/>
      <c r="BF6" s="22"/>
      <c r="BG6" s="20"/>
      <c r="BH6" s="21"/>
      <c r="BI6" s="21"/>
      <c r="BJ6" s="21"/>
      <c r="BK6" s="21"/>
      <c r="BL6" s="21"/>
      <c r="BM6" s="22"/>
    </row>
    <row r="7" spans="1:65" x14ac:dyDescent="0.25">
      <c r="A7" s="2">
        <v>7692885</v>
      </c>
      <c r="B7" t="s">
        <v>37</v>
      </c>
      <c r="C7" s="2">
        <v>6012433635</v>
      </c>
      <c r="D7" t="s">
        <v>34</v>
      </c>
      <c r="E7" s="2">
        <v>9</v>
      </c>
      <c r="F7" s="14">
        <v>45470</v>
      </c>
      <c r="G7" s="14">
        <f>F7-K7</f>
        <v>45468</v>
      </c>
      <c r="H7" t="s">
        <v>90</v>
      </c>
      <c r="I7" s="12"/>
      <c r="J7" s="12">
        <v>2</v>
      </c>
      <c r="K7" s="12">
        <f t="shared" si="2"/>
        <v>2</v>
      </c>
      <c r="L7" s="12"/>
      <c r="M7" s="2" t="s">
        <v>5</v>
      </c>
      <c r="N7" s="5" t="s">
        <v>29</v>
      </c>
      <c r="O7" s="3">
        <f t="shared" si="3"/>
        <v>0</v>
      </c>
      <c r="P7" s="3">
        <f>SUM(Q7:BM7)</f>
        <v>180000</v>
      </c>
      <c r="Q7" s="30"/>
      <c r="R7" s="31"/>
      <c r="S7" s="31"/>
      <c r="T7" s="31"/>
      <c r="U7" s="31"/>
      <c r="V7" s="31"/>
      <c r="W7" s="32"/>
      <c r="X7" s="30"/>
      <c r="Y7" s="31"/>
      <c r="Z7" s="31"/>
      <c r="AA7" s="31"/>
      <c r="AB7" s="31"/>
      <c r="AC7" s="31"/>
      <c r="AD7" s="32"/>
      <c r="AE7" s="30"/>
      <c r="AF7" s="31"/>
      <c r="AG7" s="21"/>
      <c r="AH7" s="21"/>
      <c r="AI7" s="21"/>
      <c r="AJ7" s="21"/>
      <c r="AK7" s="22"/>
      <c r="AL7" s="20"/>
      <c r="AM7" s="21">
        <v>180000</v>
      </c>
      <c r="AN7" s="21"/>
      <c r="AO7" s="23"/>
      <c r="AP7" s="21"/>
      <c r="AQ7" s="21"/>
      <c r="AR7" s="22"/>
      <c r="AS7" s="20"/>
      <c r="AT7" s="21"/>
      <c r="AU7" s="21"/>
      <c r="AV7" s="21"/>
      <c r="AW7" s="21"/>
      <c r="AX7" s="21"/>
      <c r="AY7" s="22"/>
      <c r="AZ7" s="20"/>
      <c r="BA7" s="21"/>
      <c r="BB7" s="21"/>
      <c r="BC7" s="21"/>
      <c r="BD7" s="21"/>
      <c r="BE7" s="21"/>
      <c r="BF7" s="22"/>
      <c r="BG7" s="20"/>
      <c r="BH7" s="21"/>
      <c r="BI7" s="21"/>
      <c r="BJ7" s="21"/>
      <c r="BK7" s="21"/>
      <c r="BL7" s="21"/>
      <c r="BM7" s="22"/>
    </row>
    <row r="8" spans="1:65" x14ac:dyDescent="0.25">
      <c r="A8" s="2">
        <v>7692879</v>
      </c>
      <c r="B8" t="s">
        <v>38</v>
      </c>
      <c r="C8" s="2">
        <v>6012433792</v>
      </c>
      <c r="D8" t="s">
        <v>34</v>
      </c>
      <c r="E8" s="2">
        <v>6</v>
      </c>
      <c r="F8" s="14">
        <v>45470</v>
      </c>
      <c r="G8" s="14">
        <f>F8-K8</f>
        <v>45468</v>
      </c>
      <c r="H8" t="s">
        <v>90</v>
      </c>
      <c r="I8" s="12"/>
      <c r="J8" s="12">
        <v>2</v>
      </c>
      <c r="K8" s="12">
        <f t="shared" si="2"/>
        <v>2</v>
      </c>
      <c r="L8" s="12"/>
      <c r="M8" s="2" t="s">
        <v>5</v>
      </c>
      <c r="N8" s="5" t="s">
        <v>6</v>
      </c>
      <c r="O8" s="3">
        <f t="shared" si="3"/>
        <v>0</v>
      </c>
      <c r="P8" s="3">
        <f>SUM(Q8:BM8)</f>
        <v>1000</v>
      </c>
      <c r="Q8" s="30"/>
      <c r="R8" s="31"/>
      <c r="S8" s="31"/>
      <c r="T8" s="31"/>
      <c r="U8" s="31"/>
      <c r="V8" s="31"/>
      <c r="W8" s="32"/>
      <c r="X8" s="30"/>
      <c r="Y8" s="31"/>
      <c r="Z8" s="31"/>
      <c r="AA8" s="31"/>
      <c r="AB8" s="31"/>
      <c r="AC8" s="31"/>
      <c r="AD8" s="32"/>
      <c r="AE8" s="30"/>
      <c r="AF8" s="31"/>
      <c r="AG8" s="21"/>
      <c r="AH8" s="21"/>
      <c r="AI8" s="21"/>
      <c r="AJ8" s="21"/>
      <c r="AK8" s="22"/>
      <c r="AL8" s="20"/>
      <c r="AM8" s="21">
        <v>1000</v>
      </c>
      <c r="AN8" s="21"/>
      <c r="AO8" s="23"/>
      <c r="AP8" s="21"/>
      <c r="AQ8" s="21"/>
      <c r="AR8" s="22"/>
      <c r="AS8" s="20"/>
      <c r="AT8" s="21"/>
      <c r="AU8" s="21"/>
      <c r="AV8" s="21"/>
      <c r="AW8" s="21"/>
      <c r="AX8" s="21"/>
      <c r="AY8" s="22"/>
      <c r="AZ8" s="20"/>
      <c r="BA8" s="21"/>
      <c r="BB8" s="21"/>
      <c r="BC8" s="21"/>
      <c r="BD8" s="21"/>
      <c r="BE8" s="21"/>
      <c r="BF8" s="22"/>
      <c r="BG8" s="20"/>
      <c r="BH8" s="21"/>
      <c r="BI8" s="21"/>
      <c r="BJ8" s="21"/>
      <c r="BK8" s="21"/>
      <c r="BL8" s="21"/>
      <c r="BM8" s="22"/>
    </row>
    <row r="9" spans="1:65" x14ac:dyDescent="0.25">
      <c r="A9" s="2">
        <v>7692884</v>
      </c>
      <c r="B9" t="s">
        <v>39</v>
      </c>
      <c r="C9" s="2">
        <v>6012433815</v>
      </c>
      <c r="D9" t="s">
        <v>34</v>
      </c>
      <c r="E9" s="2">
        <v>6</v>
      </c>
      <c r="F9" s="14">
        <v>45470</v>
      </c>
      <c r="G9" s="14">
        <f>F9-K9</f>
        <v>45468</v>
      </c>
      <c r="H9" t="s">
        <v>90</v>
      </c>
      <c r="I9" s="12"/>
      <c r="J9" s="12">
        <v>2</v>
      </c>
      <c r="K9" s="12">
        <f t="shared" si="2"/>
        <v>2</v>
      </c>
      <c r="L9" s="12"/>
      <c r="M9" s="2" t="s">
        <v>5</v>
      </c>
      <c r="N9" s="5" t="s">
        <v>29</v>
      </c>
      <c r="O9" s="3">
        <f t="shared" si="3"/>
        <v>0</v>
      </c>
      <c r="P9" s="3">
        <f>SUM(Q9:BM9)</f>
        <v>260000</v>
      </c>
      <c r="Q9" s="30"/>
      <c r="R9" s="31"/>
      <c r="S9" s="31"/>
      <c r="T9" s="31"/>
      <c r="U9" s="31"/>
      <c r="V9" s="31"/>
      <c r="W9" s="32"/>
      <c r="X9" s="30"/>
      <c r="Y9" s="31"/>
      <c r="Z9" s="31"/>
      <c r="AA9" s="31"/>
      <c r="AB9" s="31"/>
      <c r="AC9" s="31"/>
      <c r="AD9" s="32"/>
      <c r="AE9" s="30"/>
      <c r="AF9" s="31"/>
      <c r="AG9" s="21"/>
      <c r="AH9" s="21"/>
      <c r="AI9" s="21"/>
      <c r="AJ9" s="21"/>
      <c r="AK9" s="22"/>
      <c r="AL9" s="20"/>
      <c r="AM9" s="21">
        <v>260000</v>
      </c>
      <c r="AN9" s="21"/>
      <c r="AO9" s="23"/>
      <c r="AP9" s="21"/>
      <c r="AQ9" s="21"/>
      <c r="AR9" s="22"/>
      <c r="AS9" s="20"/>
      <c r="AT9" s="21"/>
      <c r="AU9" s="21"/>
      <c r="AV9" s="21"/>
      <c r="AW9" s="21"/>
      <c r="AX9" s="21"/>
      <c r="AY9" s="22"/>
      <c r="AZ9" s="20"/>
      <c r="BA9" s="21"/>
      <c r="BB9" s="21"/>
      <c r="BC9" s="21"/>
      <c r="BD9" s="21"/>
      <c r="BE9" s="21"/>
      <c r="BF9" s="22"/>
      <c r="BG9" s="20"/>
      <c r="BH9" s="21"/>
      <c r="BI9" s="21"/>
      <c r="BJ9" s="21"/>
      <c r="BK9" s="21"/>
      <c r="BL9" s="21"/>
      <c r="BM9" s="22"/>
    </row>
    <row r="10" spans="1:65" x14ac:dyDescent="0.25">
      <c r="A10" s="2">
        <v>7692880</v>
      </c>
      <c r="B10" t="s">
        <v>40</v>
      </c>
      <c r="C10" s="2">
        <v>6012433828</v>
      </c>
      <c r="D10" s="5" t="s">
        <v>34</v>
      </c>
      <c r="E10" s="2">
        <v>9</v>
      </c>
      <c r="F10" s="14">
        <v>45470</v>
      </c>
      <c r="G10" s="14">
        <f>F10-K10</f>
        <v>45468</v>
      </c>
      <c r="H10" t="s">
        <v>90</v>
      </c>
      <c r="I10" s="12"/>
      <c r="J10" s="12">
        <v>2</v>
      </c>
      <c r="K10" s="12">
        <f t="shared" si="2"/>
        <v>2</v>
      </c>
      <c r="L10" s="12"/>
      <c r="M10" s="2" t="s">
        <v>5</v>
      </c>
      <c r="N10" s="5" t="s">
        <v>6</v>
      </c>
      <c r="O10" s="3">
        <f t="shared" si="3"/>
        <v>0</v>
      </c>
      <c r="P10" s="3">
        <f>SUM(Q10:BM10)</f>
        <v>1000</v>
      </c>
      <c r="Q10" s="30"/>
      <c r="R10" s="31"/>
      <c r="S10" s="31"/>
      <c r="T10" s="31"/>
      <c r="U10" s="31"/>
      <c r="V10" s="31"/>
      <c r="W10" s="32"/>
      <c r="X10" s="30"/>
      <c r="Y10" s="31"/>
      <c r="Z10" s="31"/>
      <c r="AA10" s="31"/>
      <c r="AB10" s="31"/>
      <c r="AC10" s="31"/>
      <c r="AD10" s="32"/>
      <c r="AE10" s="30"/>
      <c r="AF10" s="31"/>
      <c r="AG10" s="21"/>
      <c r="AH10" s="21"/>
      <c r="AI10" s="21"/>
      <c r="AJ10" s="21"/>
      <c r="AK10" s="22"/>
      <c r="AL10" s="20"/>
      <c r="AM10" s="21">
        <v>1000</v>
      </c>
      <c r="AN10" s="21"/>
      <c r="AO10" s="23"/>
      <c r="AP10" s="21"/>
      <c r="AQ10" s="21"/>
      <c r="AR10" s="22"/>
      <c r="AS10" s="20"/>
      <c r="AT10" s="21"/>
      <c r="AU10" s="21"/>
      <c r="AV10" s="21"/>
      <c r="AW10" s="21"/>
      <c r="AX10" s="21"/>
      <c r="AY10" s="22"/>
      <c r="AZ10" s="20"/>
      <c r="BA10" s="21"/>
      <c r="BB10" s="21"/>
      <c r="BC10" s="21"/>
      <c r="BD10" s="21"/>
      <c r="BE10" s="21"/>
      <c r="BF10" s="22"/>
      <c r="BG10" s="20"/>
      <c r="BH10" s="21"/>
      <c r="BI10" s="21"/>
      <c r="BJ10" s="21"/>
      <c r="BK10" s="21"/>
      <c r="BL10" s="21"/>
      <c r="BM10" s="22"/>
    </row>
    <row r="11" spans="1:65" x14ac:dyDescent="0.25">
      <c r="A11" s="2">
        <v>7600154</v>
      </c>
      <c r="B11" t="s">
        <v>74</v>
      </c>
      <c r="C11" s="2">
        <v>6012448025</v>
      </c>
      <c r="D11" s="5" t="s">
        <v>17</v>
      </c>
      <c r="E11" s="2">
        <v>12</v>
      </c>
      <c r="F11" s="14">
        <v>45462</v>
      </c>
      <c r="G11" s="14">
        <f>F11-K11</f>
        <v>45457</v>
      </c>
      <c r="H11" t="s">
        <v>58</v>
      </c>
      <c r="I11" s="12">
        <v>3</v>
      </c>
      <c r="J11" s="12">
        <v>2</v>
      </c>
      <c r="K11" s="12">
        <f t="shared" si="2"/>
        <v>5</v>
      </c>
      <c r="L11" s="12" t="s">
        <v>116</v>
      </c>
      <c r="M11" s="2" t="s">
        <v>5</v>
      </c>
      <c r="N11" s="5" t="s">
        <v>6</v>
      </c>
      <c r="O11" s="3">
        <f t="shared" si="3"/>
        <v>17500</v>
      </c>
      <c r="P11" s="3">
        <f>SUM(Q11:BM11)</f>
        <v>17500</v>
      </c>
      <c r="Q11" s="30"/>
      <c r="R11" s="31"/>
      <c r="S11" s="31"/>
      <c r="T11" s="31"/>
      <c r="U11" s="31"/>
      <c r="V11" s="31"/>
      <c r="W11" s="32"/>
      <c r="X11" s="30"/>
      <c r="Y11" s="31"/>
      <c r="Z11" s="31"/>
      <c r="AA11" s="31"/>
      <c r="AB11" s="31">
        <v>17500</v>
      </c>
      <c r="AC11" s="31"/>
      <c r="AD11" s="32"/>
      <c r="AE11" s="30"/>
      <c r="AF11" s="31"/>
      <c r="AG11" s="23"/>
      <c r="AH11" s="21"/>
      <c r="AI11" s="21"/>
      <c r="AJ11" s="21"/>
      <c r="AK11" s="22"/>
      <c r="AL11" s="20"/>
      <c r="AM11" s="21"/>
      <c r="AN11" s="21"/>
      <c r="AO11" s="21"/>
      <c r="AP11" s="21"/>
      <c r="AQ11" s="21"/>
      <c r="AR11" s="22"/>
      <c r="AS11" s="20"/>
      <c r="AT11" s="21"/>
      <c r="AU11" s="21"/>
      <c r="AV11" s="21"/>
      <c r="AW11" s="21"/>
      <c r="AX11" s="21"/>
      <c r="AY11" s="22"/>
      <c r="AZ11" s="20"/>
      <c r="BA11" s="21"/>
      <c r="BB11" s="21"/>
      <c r="BC11" s="21"/>
      <c r="BD11" s="21"/>
      <c r="BE11" s="21"/>
      <c r="BF11" s="22"/>
      <c r="BG11" s="20"/>
      <c r="BH11" s="21"/>
      <c r="BI11" s="21"/>
      <c r="BJ11" s="21"/>
      <c r="BK11" s="21"/>
      <c r="BL11" s="21"/>
      <c r="BM11" s="22"/>
    </row>
    <row r="12" spans="1:65" x14ac:dyDescent="0.25">
      <c r="A12" s="2">
        <v>7622071</v>
      </c>
      <c r="B12" t="s">
        <v>77</v>
      </c>
      <c r="C12" s="2">
        <v>6012487213</v>
      </c>
      <c r="D12" s="5" t="s">
        <v>88</v>
      </c>
      <c r="E12" s="2">
        <v>12</v>
      </c>
      <c r="F12" s="14">
        <v>45470</v>
      </c>
      <c r="G12" s="14">
        <f>F12-K12</f>
        <v>45466</v>
      </c>
      <c r="H12" t="s">
        <v>59</v>
      </c>
      <c r="I12" s="12">
        <v>2</v>
      </c>
      <c r="J12" s="12">
        <v>2</v>
      </c>
      <c r="K12" s="12">
        <f t="shared" si="2"/>
        <v>4</v>
      </c>
      <c r="L12" s="12" t="s">
        <v>116</v>
      </c>
      <c r="M12" s="2" t="s">
        <v>5</v>
      </c>
      <c r="N12" s="5" t="s">
        <v>6</v>
      </c>
      <c r="O12" s="3">
        <f t="shared" si="3"/>
        <v>0</v>
      </c>
      <c r="P12" s="3">
        <f>SUM(Q12:BM12)</f>
        <v>3750</v>
      </c>
      <c r="Q12" s="30"/>
      <c r="R12" s="31"/>
      <c r="S12" s="31"/>
      <c r="T12" s="31"/>
      <c r="U12" s="31"/>
      <c r="V12" s="31"/>
      <c r="W12" s="32"/>
      <c r="X12" s="30"/>
      <c r="Y12" s="31"/>
      <c r="Z12" s="31"/>
      <c r="AA12" s="31"/>
      <c r="AB12" s="31"/>
      <c r="AC12" s="31"/>
      <c r="AD12" s="32"/>
      <c r="AE12" s="30"/>
      <c r="AF12" s="31"/>
      <c r="AG12" s="21"/>
      <c r="AH12" s="21"/>
      <c r="AI12" s="21"/>
      <c r="AJ12" s="21"/>
      <c r="AK12" s="22">
        <v>3750</v>
      </c>
      <c r="AL12" s="20"/>
      <c r="AM12" s="21"/>
      <c r="AN12" s="21"/>
      <c r="AO12" s="23"/>
      <c r="AP12" s="21"/>
      <c r="AQ12" s="21"/>
      <c r="AR12" s="22"/>
      <c r="AS12" s="20"/>
      <c r="AT12" s="21"/>
      <c r="AU12" s="21"/>
      <c r="AV12" s="21"/>
      <c r="AW12" s="21"/>
      <c r="AX12" s="21"/>
      <c r="AY12" s="22"/>
      <c r="AZ12" s="20"/>
      <c r="BA12" s="21"/>
      <c r="BB12" s="21"/>
      <c r="BC12" s="21"/>
      <c r="BD12" s="21"/>
      <c r="BE12" s="21"/>
      <c r="BF12" s="22"/>
      <c r="BG12" s="20"/>
      <c r="BH12" s="21"/>
      <c r="BI12" s="21"/>
      <c r="BJ12" s="21"/>
      <c r="BK12" s="21"/>
      <c r="BL12" s="21"/>
      <c r="BM12" s="22"/>
    </row>
    <row r="13" spans="1:65" x14ac:dyDescent="0.25">
      <c r="A13" s="2">
        <v>7692552</v>
      </c>
      <c r="B13" t="s">
        <v>23</v>
      </c>
      <c r="C13" s="2">
        <v>6012500183</v>
      </c>
      <c r="D13" s="5" t="s">
        <v>19</v>
      </c>
      <c r="E13" s="2">
        <v>9</v>
      </c>
      <c r="F13" s="14">
        <v>45463</v>
      </c>
      <c r="G13" s="14">
        <f>F13-K13</f>
        <v>45459</v>
      </c>
      <c r="H13" t="s">
        <v>60</v>
      </c>
      <c r="I13" s="12">
        <v>2</v>
      </c>
      <c r="J13" s="12">
        <v>2</v>
      </c>
      <c r="K13" s="12">
        <f t="shared" si="2"/>
        <v>4</v>
      </c>
      <c r="L13" s="12" t="s">
        <v>116</v>
      </c>
      <c r="M13" s="2" t="s">
        <v>5</v>
      </c>
      <c r="N13" s="5" t="s">
        <v>6</v>
      </c>
      <c r="O13" s="3">
        <f t="shared" si="3"/>
        <v>60000</v>
      </c>
      <c r="P13" s="3">
        <f>SUM(Q13:BM13)</f>
        <v>120000</v>
      </c>
      <c r="Q13" s="30"/>
      <c r="R13" s="31"/>
      <c r="S13" s="31"/>
      <c r="T13" s="31"/>
      <c r="U13" s="31"/>
      <c r="V13" s="31"/>
      <c r="W13" s="32"/>
      <c r="X13" s="30"/>
      <c r="Y13" s="31"/>
      <c r="Z13" s="31"/>
      <c r="AA13" s="31"/>
      <c r="AB13" s="31"/>
      <c r="AC13" s="31"/>
      <c r="AD13" s="32">
        <v>60000</v>
      </c>
      <c r="AE13" s="30"/>
      <c r="AF13" s="31"/>
      <c r="AG13" s="21"/>
      <c r="AH13" s="21"/>
      <c r="AI13" s="21">
        <v>60000</v>
      </c>
      <c r="AJ13" s="23"/>
      <c r="AK13" s="27"/>
      <c r="AL13" s="28"/>
      <c r="AM13" s="23"/>
      <c r="AN13" s="21"/>
      <c r="AO13" s="21"/>
      <c r="AP13" s="21"/>
      <c r="AQ13" s="21"/>
      <c r="AR13" s="22"/>
      <c r="AS13" s="20"/>
      <c r="AT13" s="21"/>
      <c r="AU13" s="21"/>
      <c r="AV13" s="21"/>
      <c r="AW13" s="21"/>
      <c r="AX13" s="21"/>
      <c r="AY13" s="22"/>
      <c r="AZ13" s="20"/>
      <c r="BA13" s="21"/>
      <c r="BB13" s="21"/>
      <c r="BC13" s="21"/>
      <c r="BD13" s="21"/>
      <c r="BE13" s="21"/>
      <c r="BF13" s="22"/>
      <c r="BG13" s="20"/>
      <c r="BH13" s="21"/>
      <c r="BI13" s="21"/>
      <c r="BJ13" s="21"/>
      <c r="BK13" s="21"/>
      <c r="BL13" s="21"/>
      <c r="BM13" s="22"/>
    </row>
    <row r="14" spans="1:65" x14ac:dyDescent="0.25">
      <c r="A14" s="2">
        <v>7692552</v>
      </c>
      <c r="B14" t="s">
        <v>65</v>
      </c>
      <c r="C14" s="2">
        <v>6012500180</v>
      </c>
      <c r="D14" s="5" t="s">
        <v>16</v>
      </c>
      <c r="E14" s="2">
        <v>9</v>
      </c>
      <c r="F14" s="14">
        <v>45469</v>
      </c>
      <c r="G14" s="14">
        <f>F14-K14</f>
        <v>45465</v>
      </c>
      <c r="H14" t="s">
        <v>60</v>
      </c>
      <c r="I14" s="12">
        <v>2</v>
      </c>
      <c r="J14" s="12">
        <v>2</v>
      </c>
      <c r="K14" s="12">
        <f t="shared" si="2"/>
        <v>4</v>
      </c>
      <c r="L14" s="12" t="s">
        <v>116</v>
      </c>
      <c r="M14" s="2" t="s">
        <v>5</v>
      </c>
      <c r="N14" s="5" t="s">
        <v>6</v>
      </c>
      <c r="O14" s="3">
        <f t="shared" si="3"/>
        <v>0</v>
      </c>
      <c r="P14" s="3">
        <f>SUM(Q14:BM14)</f>
        <v>86250</v>
      </c>
      <c r="Q14" s="30"/>
      <c r="R14" s="31"/>
      <c r="S14" s="31"/>
      <c r="T14" s="31"/>
      <c r="U14" s="31"/>
      <c r="V14" s="31"/>
      <c r="W14" s="32"/>
      <c r="X14" s="30"/>
      <c r="Y14" s="31"/>
      <c r="Z14" s="31"/>
      <c r="AA14" s="31"/>
      <c r="AB14" s="31"/>
      <c r="AC14" s="31"/>
      <c r="AD14" s="32"/>
      <c r="AE14" s="33"/>
      <c r="AF14" s="31"/>
      <c r="AG14" s="21"/>
      <c r="AH14" s="21"/>
      <c r="AI14" s="21"/>
      <c r="AJ14" s="21">
        <v>86250</v>
      </c>
      <c r="AK14" s="22"/>
      <c r="AL14" s="20"/>
      <c r="AM14" s="21"/>
      <c r="AN14" s="23"/>
      <c r="AO14" s="21"/>
      <c r="AP14" s="21"/>
      <c r="AQ14" s="21"/>
      <c r="AR14" s="22"/>
      <c r="AS14" s="20"/>
      <c r="AT14" s="21"/>
      <c r="AU14" s="21"/>
      <c r="AV14" s="21"/>
      <c r="AW14" s="21"/>
      <c r="AX14" s="21"/>
      <c r="AY14" s="22"/>
      <c r="AZ14" s="20"/>
      <c r="BA14" s="21"/>
      <c r="BB14" s="21"/>
      <c r="BC14" s="21"/>
      <c r="BD14" s="21"/>
      <c r="BE14" s="21"/>
      <c r="BF14" s="22"/>
      <c r="BG14" s="20"/>
      <c r="BH14" s="21"/>
      <c r="BI14" s="21"/>
      <c r="BJ14" s="21"/>
      <c r="BK14" s="21"/>
      <c r="BL14" s="21"/>
      <c r="BM14" s="22"/>
    </row>
    <row r="15" spans="1:65" x14ac:dyDescent="0.25">
      <c r="A15" s="2">
        <v>7692552</v>
      </c>
      <c r="B15" t="s">
        <v>65</v>
      </c>
      <c r="C15" s="2">
        <v>6012500181</v>
      </c>
      <c r="D15" s="5" t="s">
        <v>16</v>
      </c>
      <c r="E15" s="2">
        <v>9</v>
      </c>
      <c r="F15" s="14">
        <v>45462</v>
      </c>
      <c r="G15" s="14">
        <f>F15-K15</f>
        <v>45458</v>
      </c>
      <c r="H15" t="s">
        <v>60</v>
      </c>
      <c r="I15" s="12">
        <v>2</v>
      </c>
      <c r="J15" s="12">
        <v>2</v>
      </c>
      <c r="K15" s="12">
        <f t="shared" si="2"/>
        <v>4</v>
      </c>
      <c r="L15" s="12" t="s">
        <v>116</v>
      </c>
      <c r="M15" s="2" t="s">
        <v>5</v>
      </c>
      <c r="N15" s="5" t="s">
        <v>6</v>
      </c>
      <c r="O15" s="3">
        <f t="shared" si="3"/>
        <v>100000</v>
      </c>
      <c r="P15" s="3">
        <f>SUM(Q15:BM15)</f>
        <v>150000</v>
      </c>
      <c r="Q15" s="30"/>
      <c r="R15" s="31"/>
      <c r="S15" s="31"/>
      <c r="T15" s="31"/>
      <c r="U15" s="31"/>
      <c r="V15" s="31"/>
      <c r="W15" s="32"/>
      <c r="X15" s="30"/>
      <c r="Y15" s="31"/>
      <c r="Z15" s="31"/>
      <c r="AA15" s="31"/>
      <c r="AB15" s="31"/>
      <c r="AC15" s="31">
        <v>100000</v>
      </c>
      <c r="AD15" s="32"/>
      <c r="AE15" s="30"/>
      <c r="AF15" s="31"/>
      <c r="AG15" s="21"/>
      <c r="AH15" s="21"/>
      <c r="AI15" s="21"/>
      <c r="AJ15" s="21"/>
      <c r="AK15" s="22"/>
      <c r="AL15" s="20"/>
      <c r="AM15" s="21">
        <v>50000</v>
      </c>
      <c r="AN15" s="23"/>
      <c r="AO15" s="23"/>
      <c r="AP15" s="23"/>
      <c r="AQ15" s="23"/>
      <c r="AR15" s="22"/>
      <c r="AS15" s="20"/>
      <c r="AT15" s="21"/>
      <c r="AU15" s="21"/>
      <c r="AV15" s="21"/>
      <c r="AW15" s="21"/>
      <c r="AX15" s="21"/>
      <c r="AY15" s="22"/>
      <c r="AZ15" s="20"/>
      <c r="BA15" s="21"/>
      <c r="BB15" s="21"/>
      <c r="BC15" s="21"/>
      <c r="BD15" s="21"/>
      <c r="BE15" s="21"/>
      <c r="BF15" s="22"/>
      <c r="BG15" s="20"/>
      <c r="BH15" s="21"/>
      <c r="BI15" s="21"/>
      <c r="BJ15" s="21"/>
      <c r="BK15" s="21"/>
      <c r="BL15" s="21"/>
      <c r="BM15" s="22"/>
    </row>
    <row r="16" spans="1:65" x14ac:dyDescent="0.25">
      <c r="A16" s="2">
        <v>7692557</v>
      </c>
      <c r="B16" t="s">
        <v>21</v>
      </c>
      <c r="C16" s="2">
        <v>6012499558</v>
      </c>
      <c r="D16" s="5" t="s">
        <v>66</v>
      </c>
      <c r="E16" s="2">
        <v>6</v>
      </c>
      <c r="F16" s="14">
        <v>45458</v>
      </c>
      <c r="G16" s="14">
        <f>F16-K16</f>
        <v>45450</v>
      </c>
      <c r="H16" t="s">
        <v>64</v>
      </c>
      <c r="I16" s="12">
        <v>6</v>
      </c>
      <c r="J16" s="12">
        <v>2</v>
      </c>
      <c r="K16" s="12">
        <f t="shared" si="2"/>
        <v>8</v>
      </c>
      <c r="L16" s="12" t="s">
        <v>117</v>
      </c>
      <c r="M16" s="2" t="s">
        <v>5</v>
      </c>
      <c r="N16" s="5" t="s">
        <v>6</v>
      </c>
      <c r="O16" s="3">
        <f t="shared" si="3"/>
        <v>1250</v>
      </c>
      <c r="P16" s="3">
        <f>SUM(Q16:BM16)</f>
        <v>1250</v>
      </c>
      <c r="Q16" s="30"/>
      <c r="R16" s="31"/>
      <c r="S16" s="31"/>
      <c r="T16" s="31"/>
      <c r="U16" s="31">
        <v>1250</v>
      </c>
      <c r="V16" s="31"/>
      <c r="W16" s="32"/>
      <c r="X16" s="30"/>
      <c r="Y16" s="31"/>
      <c r="Z16" s="31"/>
      <c r="AA16" s="31"/>
      <c r="AB16" s="31"/>
      <c r="AC16" s="34"/>
      <c r="AD16" s="32"/>
      <c r="AE16" s="30"/>
      <c r="AF16" s="31"/>
      <c r="AG16" s="21"/>
      <c r="AH16" s="21"/>
      <c r="AI16" s="21"/>
      <c r="AJ16" s="21"/>
      <c r="AK16" s="22"/>
      <c r="AL16" s="20"/>
      <c r="AM16" s="21"/>
      <c r="AN16" s="21"/>
      <c r="AO16" s="21"/>
      <c r="AP16" s="21"/>
      <c r="AQ16" s="21"/>
      <c r="AR16" s="22"/>
      <c r="AS16" s="20"/>
      <c r="AT16" s="21"/>
      <c r="AU16" s="21"/>
      <c r="AV16" s="21"/>
      <c r="AW16" s="21"/>
      <c r="AX16" s="21"/>
      <c r="AY16" s="22"/>
      <c r="AZ16" s="20"/>
      <c r="BA16" s="21"/>
      <c r="BB16" s="21"/>
      <c r="BC16" s="21"/>
      <c r="BD16" s="21"/>
      <c r="BE16" s="21"/>
      <c r="BF16" s="22"/>
      <c r="BG16" s="20"/>
      <c r="BH16" s="21"/>
      <c r="BI16" s="21"/>
      <c r="BJ16" s="21"/>
      <c r="BK16" s="21"/>
      <c r="BL16" s="21"/>
      <c r="BM16" s="22"/>
    </row>
    <row r="17" spans="1:65" x14ac:dyDescent="0.25">
      <c r="A17" s="2">
        <v>7692560</v>
      </c>
      <c r="B17" t="s">
        <v>26</v>
      </c>
      <c r="C17" s="2">
        <v>6012499557</v>
      </c>
      <c r="D17" s="5" t="s">
        <v>66</v>
      </c>
      <c r="E17" s="2">
        <v>12</v>
      </c>
      <c r="F17" s="14">
        <v>45463</v>
      </c>
      <c r="G17" s="14">
        <f>F17-K17</f>
        <v>45455</v>
      </c>
      <c r="H17" t="s">
        <v>64</v>
      </c>
      <c r="I17" s="12">
        <v>6</v>
      </c>
      <c r="J17" s="12">
        <v>2</v>
      </c>
      <c r="K17" s="12">
        <f t="shared" si="2"/>
        <v>8</v>
      </c>
      <c r="L17" s="12" t="s">
        <v>117</v>
      </c>
      <c r="M17" s="2" t="s">
        <v>5</v>
      </c>
      <c r="N17" s="5" t="s">
        <v>6</v>
      </c>
      <c r="O17" s="3">
        <f t="shared" si="3"/>
        <v>90000</v>
      </c>
      <c r="P17" s="3">
        <f>SUM(Q17:BM17)</f>
        <v>130000</v>
      </c>
      <c r="Q17" s="30"/>
      <c r="R17" s="31"/>
      <c r="S17" s="31"/>
      <c r="T17" s="31"/>
      <c r="U17" s="31"/>
      <c r="V17" s="31"/>
      <c r="W17" s="32"/>
      <c r="X17" s="30"/>
      <c r="Y17" s="31"/>
      <c r="Z17" s="31">
        <v>40000</v>
      </c>
      <c r="AA17" s="31"/>
      <c r="AB17" s="31"/>
      <c r="AC17" s="31"/>
      <c r="AD17" s="32">
        <v>50000</v>
      </c>
      <c r="AE17" s="30"/>
      <c r="AF17" s="31"/>
      <c r="AG17" s="21"/>
      <c r="AH17" s="21">
        <v>40000</v>
      </c>
      <c r="AI17" s="23"/>
      <c r="AJ17" s="23"/>
      <c r="AK17" s="27"/>
      <c r="AL17" s="28"/>
      <c r="AM17" s="23"/>
      <c r="AN17" s="23"/>
      <c r="AO17" s="23"/>
      <c r="AP17" s="23"/>
      <c r="AQ17" s="21"/>
      <c r="AR17" s="22"/>
      <c r="AS17" s="20"/>
      <c r="AT17" s="21"/>
      <c r="AU17" s="21"/>
      <c r="AV17" s="21"/>
      <c r="AW17" s="21"/>
      <c r="AX17" s="21"/>
      <c r="AY17" s="22"/>
      <c r="AZ17" s="20"/>
      <c r="BA17" s="21"/>
      <c r="BB17" s="21"/>
      <c r="BC17" s="21"/>
      <c r="BD17" s="21"/>
      <c r="BE17" s="21"/>
      <c r="BF17" s="22"/>
      <c r="BG17" s="20"/>
      <c r="BH17" s="21"/>
      <c r="BI17" s="21"/>
      <c r="BJ17" s="21"/>
      <c r="BK17" s="21"/>
      <c r="BL17" s="21"/>
      <c r="BM17" s="22"/>
    </row>
    <row r="18" spans="1:65" x14ac:dyDescent="0.25">
      <c r="A18" s="2">
        <v>7692560</v>
      </c>
      <c r="B18" t="s">
        <v>26</v>
      </c>
      <c r="C18" s="2">
        <v>6012499976</v>
      </c>
      <c r="D18" s="5" t="s">
        <v>27</v>
      </c>
      <c r="E18" s="2">
        <v>12</v>
      </c>
      <c r="F18" s="14">
        <v>45467</v>
      </c>
      <c r="G18" s="14">
        <f>F18-K18</f>
        <v>45459</v>
      </c>
      <c r="H18" t="s">
        <v>64</v>
      </c>
      <c r="I18" s="12">
        <v>6</v>
      </c>
      <c r="J18" s="12">
        <v>2</v>
      </c>
      <c r="K18" s="12">
        <f t="shared" si="2"/>
        <v>8</v>
      </c>
      <c r="L18" s="12" t="s">
        <v>117</v>
      </c>
      <c r="M18" s="2" t="s">
        <v>5</v>
      </c>
      <c r="N18" s="5" t="s">
        <v>6</v>
      </c>
      <c r="O18" s="3">
        <f t="shared" si="3"/>
        <v>75000</v>
      </c>
      <c r="P18" s="3">
        <f>SUM(Q18:BM18)</f>
        <v>75000</v>
      </c>
      <c r="Q18" s="30"/>
      <c r="R18" s="31"/>
      <c r="S18" s="31"/>
      <c r="T18" s="31"/>
      <c r="U18" s="31"/>
      <c r="V18" s="31"/>
      <c r="W18" s="32"/>
      <c r="X18" s="30"/>
      <c r="Y18" s="31"/>
      <c r="Z18" s="31"/>
      <c r="AA18" s="31"/>
      <c r="AB18" s="31"/>
      <c r="AC18" s="31"/>
      <c r="AD18" s="32">
        <v>75000</v>
      </c>
      <c r="AE18" s="30"/>
      <c r="AF18" s="31"/>
      <c r="AG18" s="21"/>
      <c r="AH18" s="21"/>
      <c r="AI18" s="21"/>
      <c r="AJ18" s="21"/>
      <c r="AK18" s="22"/>
      <c r="AL18" s="28"/>
      <c r="AM18" s="21"/>
      <c r="AN18" s="21"/>
      <c r="AO18" s="21"/>
      <c r="AP18" s="21"/>
      <c r="AQ18" s="21"/>
      <c r="AR18" s="22"/>
      <c r="AS18" s="20"/>
      <c r="AT18" s="21"/>
      <c r="AU18" s="21"/>
      <c r="AV18" s="21"/>
      <c r="AW18" s="21"/>
      <c r="AX18" s="21"/>
      <c r="AY18" s="22"/>
      <c r="AZ18" s="20"/>
      <c r="BA18" s="21"/>
      <c r="BB18" s="21"/>
      <c r="BC18" s="21"/>
      <c r="BD18" s="21"/>
      <c r="BE18" s="21"/>
      <c r="BF18" s="22"/>
      <c r="BG18" s="20"/>
      <c r="BH18" s="21"/>
      <c r="BI18" s="21"/>
      <c r="BJ18" s="21"/>
      <c r="BK18" s="21"/>
      <c r="BL18" s="21"/>
      <c r="BM18" s="22"/>
    </row>
    <row r="19" spans="1:65" x14ac:dyDescent="0.25">
      <c r="A19" s="2">
        <v>7692588</v>
      </c>
      <c r="B19" t="s">
        <v>68</v>
      </c>
      <c r="C19" s="2">
        <v>6012499777</v>
      </c>
      <c r="D19" s="5" t="s">
        <v>22</v>
      </c>
      <c r="E19" s="2">
        <v>9</v>
      </c>
      <c r="F19" s="14">
        <v>45465</v>
      </c>
      <c r="G19" s="14">
        <f>F19-K19</f>
        <v>45457</v>
      </c>
      <c r="H19" t="s">
        <v>64</v>
      </c>
      <c r="I19" s="12">
        <v>6</v>
      </c>
      <c r="J19" s="12">
        <v>2</v>
      </c>
      <c r="K19" s="12">
        <f t="shared" si="2"/>
        <v>8</v>
      </c>
      <c r="L19" s="12" t="s">
        <v>117</v>
      </c>
      <c r="M19" s="2" t="s">
        <v>5</v>
      </c>
      <c r="N19" s="5" t="s">
        <v>6</v>
      </c>
      <c r="O19" s="3">
        <f t="shared" si="3"/>
        <v>20000</v>
      </c>
      <c r="P19" s="3">
        <f>SUM(Q19:BM19)</f>
        <v>110000</v>
      </c>
      <c r="Q19" s="30"/>
      <c r="R19" s="31"/>
      <c r="S19" s="31"/>
      <c r="T19" s="31"/>
      <c r="U19" s="31"/>
      <c r="V19" s="31"/>
      <c r="W19" s="32"/>
      <c r="X19" s="30"/>
      <c r="Y19" s="31"/>
      <c r="Z19" s="31"/>
      <c r="AA19" s="31"/>
      <c r="AB19" s="31">
        <v>20000</v>
      </c>
      <c r="AC19" s="31"/>
      <c r="AD19" s="32"/>
      <c r="AE19" s="30"/>
      <c r="AF19" s="31"/>
      <c r="AG19" s="21"/>
      <c r="AH19" s="21"/>
      <c r="AI19" s="21"/>
      <c r="AJ19" s="21"/>
      <c r="AK19" s="22"/>
      <c r="AL19" s="20"/>
      <c r="AM19" s="21">
        <v>20000</v>
      </c>
      <c r="AN19" s="21"/>
      <c r="AO19" s="21"/>
      <c r="AP19" s="21"/>
      <c r="AQ19" s="21"/>
      <c r="AR19" s="22"/>
      <c r="AS19" s="20"/>
      <c r="AT19" s="21">
        <v>30000</v>
      </c>
      <c r="AU19" s="21"/>
      <c r="AV19" s="21"/>
      <c r="AW19" s="21"/>
      <c r="AX19" s="21"/>
      <c r="AY19" s="22"/>
      <c r="AZ19" s="20"/>
      <c r="BA19" s="21">
        <v>40000</v>
      </c>
      <c r="BB19" s="23"/>
      <c r="BC19" s="23"/>
      <c r="BD19" s="23"/>
      <c r="BE19" s="23"/>
      <c r="BF19" s="27"/>
      <c r="BG19" s="28"/>
      <c r="BH19" s="23"/>
      <c r="BI19" s="23"/>
      <c r="BJ19" s="21"/>
      <c r="BK19" s="21"/>
      <c r="BL19" s="21"/>
      <c r="BM19" s="22"/>
    </row>
    <row r="20" spans="1:65" x14ac:dyDescent="0.25">
      <c r="A20" s="2">
        <v>7692588</v>
      </c>
      <c r="B20" t="s">
        <v>68</v>
      </c>
      <c r="C20" s="2">
        <v>6012499815</v>
      </c>
      <c r="D20" s="5" t="s">
        <v>66</v>
      </c>
      <c r="E20" s="2">
        <v>9</v>
      </c>
      <c r="F20" s="14">
        <v>45463</v>
      </c>
      <c r="G20" s="14">
        <f>F20-K20</f>
        <v>45455</v>
      </c>
      <c r="H20" t="s">
        <v>64</v>
      </c>
      <c r="I20" s="12">
        <v>6</v>
      </c>
      <c r="J20" s="12">
        <v>2</v>
      </c>
      <c r="K20" s="12">
        <f t="shared" si="2"/>
        <v>8</v>
      </c>
      <c r="L20" s="12" t="s">
        <v>117</v>
      </c>
      <c r="M20" s="2" t="s">
        <v>5</v>
      </c>
      <c r="N20" s="5" t="s">
        <v>6</v>
      </c>
      <c r="O20" s="3">
        <f t="shared" si="3"/>
        <v>13750</v>
      </c>
      <c r="P20" s="3">
        <f>SUM(Q20:BM20)</f>
        <v>43750</v>
      </c>
      <c r="Q20" s="30"/>
      <c r="R20" s="31"/>
      <c r="S20" s="31"/>
      <c r="T20" s="31"/>
      <c r="U20" s="31"/>
      <c r="V20" s="31"/>
      <c r="W20" s="32"/>
      <c r="X20" s="30"/>
      <c r="Y20" s="31"/>
      <c r="Z20" s="31">
        <v>13750</v>
      </c>
      <c r="AA20" s="31"/>
      <c r="AB20" s="31"/>
      <c r="AC20" s="31"/>
      <c r="AD20" s="32"/>
      <c r="AE20" s="30"/>
      <c r="AF20" s="31"/>
      <c r="AG20" s="21"/>
      <c r="AH20" s="21">
        <v>30000</v>
      </c>
      <c r="AI20" s="23"/>
      <c r="AJ20" s="23"/>
      <c r="AK20" s="27"/>
      <c r="AL20" s="28"/>
      <c r="AM20" s="23"/>
      <c r="AN20" s="23"/>
      <c r="AO20" s="23"/>
      <c r="AP20" s="23"/>
      <c r="AQ20" s="21"/>
      <c r="AR20" s="22"/>
      <c r="AS20" s="20"/>
      <c r="AT20" s="21"/>
      <c r="AU20" s="21"/>
      <c r="AV20" s="21"/>
      <c r="AW20" s="21"/>
      <c r="AX20" s="21"/>
      <c r="AY20" s="22"/>
      <c r="AZ20" s="20"/>
      <c r="BA20" s="21"/>
      <c r="BB20" s="21"/>
      <c r="BC20" s="21"/>
      <c r="BD20" s="21"/>
      <c r="BE20" s="21"/>
      <c r="BF20" s="22"/>
      <c r="BG20" s="20"/>
      <c r="BH20" s="21"/>
      <c r="BI20" s="21"/>
      <c r="BJ20" s="21"/>
      <c r="BK20" s="21"/>
      <c r="BL20" s="21"/>
      <c r="BM20" s="22"/>
    </row>
    <row r="21" spans="1:65" x14ac:dyDescent="0.25">
      <c r="A21" s="2">
        <v>7692794</v>
      </c>
      <c r="B21" t="s">
        <v>49</v>
      </c>
      <c r="C21" s="2">
        <v>6012506029</v>
      </c>
      <c r="D21" s="5" t="s">
        <v>28</v>
      </c>
      <c r="E21" s="2">
        <v>9</v>
      </c>
      <c r="F21" s="14">
        <v>45470</v>
      </c>
      <c r="G21" s="14">
        <f>F21-K21</f>
        <v>45467</v>
      </c>
      <c r="H21" t="s">
        <v>57</v>
      </c>
      <c r="I21" s="12">
        <v>1</v>
      </c>
      <c r="J21" s="12">
        <v>2</v>
      </c>
      <c r="K21" s="12">
        <f t="shared" si="2"/>
        <v>3</v>
      </c>
      <c r="L21" s="12" t="s">
        <v>118</v>
      </c>
      <c r="M21" s="2" t="s">
        <v>5</v>
      </c>
      <c r="N21" s="5" t="s">
        <v>6</v>
      </c>
      <c r="O21" s="3">
        <f t="shared" si="3"/>
        <v>0</v>
      </c>
      <c r="P21" s="3">
        <f>SUM(Q21:BM21)</f>
        <v>45000</v>
      </c>
      <c r="Q21" s="30"/>
      <c r="R21" s="31"/>
      <c r="S21" s="31"/>
      <c r="T21" s="31"/>
      <c r="U21" s="31"/>
      <c r="V21" s="31"/>
      <c r="W21" s="32"/>
      <c r="X21" s="30"/>
      <c r="Y21" s="31"/>
      <c r="Z21" s="31"/>
      <c r="AA21" s="31"/>
      <c r="AB21" s="31"/>
      <c r="AC21" s="31"/>
      <c r="AD21" s="32"/>
      <c r="AE21" s="30"/>
      <c r="AF21" s="31"/>
      <c r="AG21" s="21"/>
      <c r="AH21" s="21"/>
      <c r="AI21" s="21"/>
      <c r="AJ21" s="21"/>
      <c r="AK21" s="22"/>
      <c r="AL21" s="20">
        <v>45000</v>
      </c>
      <c r="AM21" s="21"/>
      <c r="AN21" s="21"/>
      <c r="AO21" s="23"/>
      <c r="AP21" s="21"/>
      <c r="AQ21" s="21"/>
      <c r="AR21" s="22"/>
      <c r="AS21" s="20"/>
      <c r="AT21" s="21"/>
      <c r="AU21" s="21"/>
      <c r="AV21" s="21"/>
      <c r="AW21" s="21"/>
      <c r="AX21" s="21"/>
      <c r="AY21" s="22"/>
      <c r="AZ21" s="20"/>
      <c r="BA21" s="21"/>
      <c r="BB21" s="21"/>
      <c r="BC21" s="21"/>
      <c r="BD21" s="21"/>
      <c r="BE21" s="21"/>
      <c r="BF21" s="22"/>
      <c r="BG21" s="20"/>
      <c r="BH21" s="21"/>
      <c r="BI21" s="21"/>
      <c r="BJ21" s="21"/>
      <c r="BK21" s="21"/>
      <c r="BL21" s="21"/>
      <c r="BM21" s="22"/>
    </row>
    <row r="22" spans="1:65" x14ac:dyDescent="0.25">
      <c r="A22" s="2">
        <v>7692794</v>
      </c>
      <c r="B22" t="s">
        <v>69</v>
      </c>
      <c r="C22" s="2">
        <v>6012505051</v>
      </c>
      <c r="D22" s="5" t="s">
        <v>52</v>
      </c>
      <c r="E22" s="2">
        <v>9</v>
      </c>
      <c r="F22" s="14">
        <v>45461</v>
      </c>
      <c r="G22" s="14">
        <f>F22-K22</f>
        <v>45458</v>
      </c>
      <c r="H22" t="s">
        <v>57</v>
      </c>
      <c r="I22" s="12">
        <v>1</v>
      </c>
      <c r="J22" s="12">
        <v>2</v>
      </c>
      <c r="K22" s="12">
        <f t="shared" si="2"/>
        <v>3</v>
      </c>
      <c r="L22" s="12" t="s">
        <v>118</v>
      </c>
      <c r="M22" s="2" t="s">
        <v>5</v>
      </c>
      <c r="N22" s="5" t="s">
        <v>6</v>
      </c>
      <c r="O22" s="3">
        <f t="shared" si="3"/>
        <v>55000</v>
      </c>
      <c r="P22" s="3">
        <f>SUM(Q22:BM22)</f>
        <v>110000</v>
      </c>
      <c r="Q22" s="30"/>
      <c r="R22" s="31"/>
      <c r="S22" s="31"/>
      <c r="T22" s="31"/>
      <c r="U22" s="31"/>
      <c r="V22" s="31"/>
      <c r="W22" s="32"/>
      <c r="X22" s="30"/>
      <c r="Y22" s="31"/>
      <c r="Z22" s="31"/>
      <c r="AA22" s="31"/>
      <c r="AB22" s="31"/>
      <c r="AC22" s="31">
        <v>55000</v>
      </c>
      <c r="AD22" s="32"/>
      <c r="AE22" s="30"/>
      <c r="AF22" s="31"/>
      <c r="AG22" s="21"/>
      <c r="AH22" s="21"/>
      <c r="AI22" s="21">
        <v>55000</v>
      </c>
      <c r="AJ22" s="23"/>
      <c r="AK22" s="27"/>
      <c r="AL22" s="28"/>
      <c r="AM22" s="21"/>
      <c r="AN22" s="21"/>
      <c r="AO22" s="21"/>
      <c r="AP22" s="21"/>
      <c r="AQ22" s="21"/>
      <c r="AR22" s="22"/>
      <c r="AS22" s="20"/>
      <c r="AT22" s="21"/>
      <c r="AU22" s="21"/>
      <c r="AV22" s="21"/>
      <c r="AW22" s="21"/>
      <c r="AX22" s="21"/>
      <c r="AY22" s="22"/>
      <c r="AZ22" s="20"/>
      <c r="BA22" s="21"/>
      <c r="BB22" s="21"/>
      <c r="BC22" s="21"/>
      <c r="BD22" s="21"/>
      <c r="BE22" s="21"/>
      <c r="BF22" s="22"/>
      <c r="BG22" s="20"/>
      <c r="BH22" s="21"/>
      <c r="BI22" s="21"/>
      <c r="BJ22" s="21"/>
      <c r="BK22" s="21"/>
      <c r="BL22" s="21"/>
      <c r="BM22" s="22"/>
    </row>
    <row r="23" spans="1:65" x14ac:dyDescent="0.25">
      <c r="A23" s="2">
        <v>7692793</v>
      </c>
      <c r="B23" t="s">
        <v>51</v>
      </c>
      <c r="C23" s="2">
        <v>6012505057</v>
      </c>
      <c r="D23" s="5" t="s">
        <v>52</v>
      </c>
      <c r="E23" s="2">
        <v>9</v>
      </c>
      <c r="F23" s="14">
        <v>45467</v>
      </c>
      <c r="G23" s="14">
        <f>F23-K23</f>
        <v>45464</v>
      </c>
      <c r="H23" t="s">
        <v>57</v>
      </c>
      <c r="I23" s="12">
        <v>1</v>
      </c>
      <c r="J23" s="12">
        <v>2</v>
      </c>
      <c r="K23" s="12">
        <f t="shared" si="2"/>
        <v>3</v>
      </c>
      <c r="L23" s="12" t="s">
        <v>118</v>
      </c>
      <c r="M23" s="2" t="s">
        <v>5</v>
      </c>
      <c r="N23" s="5" t="s">
        <v>6</v>
      </c>
      <c r="O23" s="3">
        <f t="shared" si="3"/>
        <v>0</v>
      </c>
      <c r="P23" s="3">
        <f>SUM(Q23:BM23)</f>
        <v>110000</v>
      </c>
      <c r="Q23" s="30"/>
      <c r="R23" s="31"/>
      <c r="S23" s="31"/>
      <c r="T23" s="31"/>
      <c r="U23" s="31"/>
      <c r="V23" s="31"/>
      <c r="W23" s="32"/>
      <c r="X23" s="30"/>
      <c r="Y23" s="31"/>
      <c r="Z23" s="31"/>
      <c r="AA23" s="31"/>
      <c r="AB23" s="31"/>
      <c r="AC23" s="31"/>
      <c r="AD23" s="32"/>
      <c r="AE23" s="30"/>
      <c r="AF23" s="31"/>
      <c r="AG23" s="21"/>
      <c r="AH23" s="21"/>
      <c r="AI23" s="21">
        <v>110000</v>
      </c>
      <c r="AJ23" s="21"/>
      <c r="AK23" s="22"/>
      <c r="AL23" s="28"/>
      <c r="AM23" s="21"/>
      <c r="AN23" s="21"/>
      <c r="AO23" s="21"/>
      <c r="AP23" s="21"/>
      <c r="AQ23" s="21"/>
      <c r="AR23" s="22"/>
      <c r="AS23" s="20"/>
      <c r="AT23" s="21"/>
      <c r="AU23" s="21"/>
      <c r="AV23" s="21"/>
      <c r="AW23" s="21"/>
      <c r="AX23" s="21"/>
      <c r="AY23" s="22"/>
      <c r="AZ23" s="20"/>
      <c r="BA23" s="21"/>
      <c r="BB23" s="21"/>
      <c r="BC23" s="21"/>
      <c r="BD23" s="21"/>
      <c r="BE23" s="21"/>
      <c r="BF23" s="22"/>
      <c r="BG23" s="20"/>
      <c r="BH23" s="21"/>
      <c r="BI23" s="21"/>
      <c r="BJ23" s="21"/>
      <c r="BK23" s="21"/>
      <c r="BL23" s="21"/>
      <c r="BM23" s="22"/>
    </row>
    <row r="24" spans="1:65" x14ac:dyDescent="0.25">
      <c r="A24" s="2">
        <v>7692793</v>
      </c>
      <c r="B24" t="s">
        <v>51</v>
      </c>
      <c r="C24" s="2">
        <v>6012506020</v>
      </c>
      <c r="D24" s="5" t="s">
        <v>52</v>
      </c>
      <c r="E24" s="2">
        <v>9</v>
      </c>
      <c r="F24" s="14">
        <v>45461</v>
      </c>
      <c r="G24" s="14">
        <f>F24-K24</f>
        <v>45458</v>
      </c>
      <c r="H24" t="s">
        <v>57</v>
      </c>
      <c r="I24" s="12">
        <v>1</v>
      </c>
      <c r="J24" s="12">
        <v>2</v>
      </c>
      <c r="K24" s="12">
        <f t="shared" si="2"/>
        <v>3</v>
      </c>
      <c r="L24" s="12" t="s">
        <v>118</v>
      </c>
      <c r="M24" s="2" t="s">
        <v>5</v>
      </c>
      <c r="N24" s="5" t="s">
        <v>6</v>
      </c>
      <c r="O24" s="3">
        <f t="shared" si="3"/>
        <v>36250</v>
      </c>
      <c r="P24" s="3">
        <f>SUM(Q24:BM24)</f>
        <v>91250</v>
      </c>
      <c r="Q24" s="30"/>
      <c r="R24" s="31"/>
      <c r="S24" s="31"/>
      <c r="T24" s="31"/>
      <c r="U24" s="31"/>
      <c r="V24" s="31"/>
      <c r="W24" s="32"/>
      <c r="X24" s="30"/>
      <c r="Y24" s="31"/>
      <c r="Z24" s="31"/>
      <c r="AA24" s="31"/>
      <c r="AB24" s="31"/>
      <c r="AC24" s="31">
        <v>36250</v>
      </c>
      <c r="AD24" s="32"/>
      <c r="AE24" s="30"/>
      <c r="AF24" s="31"/>
      <c r="AG24" s="21"/>
      <c r="AH24" s="21"/>
      <c r="AI24" s="21"/>
      <c r="AJ24" s="21"/>
      <c r="AK24" s="22"/>
      <c r="AL24" s="20"/>
      <c r="AM24" s="21">
        <v>55000</v>
      </c>
      <c r="AN24" s="23"/>
      <c r="AO24" s="23"/>
      <c r="AP24" s="23"/>
      <c r="AQ24" s="21"/>
      <c r="AR24" s="22"/>
      <c r="AS24" s="20"/>
      <c r="AT24" s="21"/>
      <c r="AU24" s="21"/>
      <c r="AV24" s="21"/>
      <c r="AW24" s="21"/>
      <c r="AX24" s="21"/>
      <c r="AY24" s="22"/>
      <c r="AZ24" s="20"/>
      <c r="BA24" s="21"/>
      <c r="BB24" s="21"/>
      <c r="BC24" s="21"/>
      <c r="BD24" s="21"/>
      <c r="BE24" s="21"/>
      <c r="BF24" s="22"/>
      <c r="BG24" s="20"/>
      <c r="BH24" s="21"/>
      <c r="BI24" s="21"/>
      <c r="BJ24" s="21"/>
      <c r="BK24" s="21"/>
      <c r="BL24" s="21"/>
      <c r="BM24" s="22"/>
    </row>
    <row r="25" spans="1:65" x14ac:dyDescent="0.25">
      <c r="A25" s="2">
        <v>7692795</v>
      </c>
      <c r="B25" t="s">
        <v>30</v>
      </c>
      <c r="C25" s="2">
        <v>6012505975</v>
      </c>
      <c r="D25" s="5" t="s">
        <v>28</v>
      </c>
      <c r="E25" s="2">
        <v>9</v>
      </c>
      <c r="F25" s="14">
        <v>45464</v>
      </c>
      <c r="G25" s="14">
        <f>F25-K25</f>
        <v>45461</v>
      </c>
      <c r="H25" t="s">
        <v>57</v>
      </c>
      <c r="I25" s="12">
        <v>1</v>
      </c>
      <c r="J25" s="12">
        <v>2</v>
      </c>
      <c r="K25" s="12">
        <f t="shared" si="2"/>
        <v>3</v>
      </c>
      <c r="L25" s="12" t="s">
        <v>118</v>
      </c>
      <c r="M25" s="2" t="s">
        <v>5</v>
      </c>
      <c r="N25" s="5" t="s">
        <v>6</v>
      </c>
      <c r="O25" s="3">
        <f t="shared" si="3"/>
        <v>82500</v>
      </c>
      <c r="P25" s="3">
        <f>SUM(Q25:BM25)</f>
        <v>137500</v>
      </c>
      <c r="Q25" s="30"/>
      <c r="R25" s="31"/>
      <c r="S25" s="31"/>
      <c r="T25" s="31"/>
      <c r="U25" s="31"/>
      <c r="V25" s="31"/>
      <c r="W25" s="32"/>
      <c r="X25" s="30"/>
      <c r="Y25" s="31"/>
      <c r="Z25" s="31"/>
      <c r="AA25" s="31"/>
      <c r="AB25" s="31"/>
      <c r="AC25" s="31"/>
      <c r="AD25" s="32"/>
      <c r="AE25" s="30"/>
      <c r="AF25" s="31">
        <v>82500</v>
      </c>
      <c r="AG25" s="21"/>
      <c r="AH25" s="21"/>
      <c r="AI25" s="21"/>
      <c r="AJ25" s="21"/>
      <c r="AK25" s="22"/>
      <c r="AL25" s="20">
        <v>55000</v>
      </c>
      <c r="AM25" s="23"/>
      <c r="AN25" s="23"/>
      <c r="AO25" s="23"/>
      <c r="AP25" s="21"/>
      <c r="AQ25" s="21"/>
      <c r="AR25" s="22"/>
      <c r="AS25" s="20"/>
      <c r="AT25" s="21"/>
      <c r="AU25" s="21"/>
      <c r="AV25" s="21"/>
      <c r="AW25" s="21"/>
      <c r="AX25" s="21"/>
      <c r="AY25" s="22"/>
      <c r="AZ25" s="20"/>
      <c r="BA25" s="21"/>
      <c r="BB25" s="21"/>
      <c r="BC25" s="21"/>
      <c r="BD25" s="21"/>
      <c r="BE25" s="21"/>
      <c r="BF25" s="22"/>
      <c r="BG25" s="20"/>
      <c r="BH25" s="21"/>
      <c r="BI25" s="21"/>
      <c r="BJ25" s="21"/>
      <c r="BK25" s="21"/>
      <c r="BL25" s="21"/>
      <c r="BM25" s="22"/>
    </row>
    <row r="26" spans="1:65" x14ac:dyDescent="0.25">
      <c r="A26" s="2">
        <v>7692795</v>
      </c>
      <c r="B26" t="s">
        <v>70</v>
      </c>
      <c r="C26" s="2">
        <v>6012505426</v>
      </c>
      <c r="D26" s="5" t="s">
        <v>32</v>
      </c>
      <c r="E26" s="2">
        <v>9</v>
      </c>
      <c r="F26" s="14">
        <v>45459</v>
      </c>
      <c r="G26" s="14">
        <f>F26-K26</f>
        <v>45456</v>
      </c>
      <c r="H26" t="s">
        <v>57</v>
      </c>
      <c r="I26" s="12">
        <v>1</v>
      </c>
      <c r="J26" s="12">
        <v>2</v>
      </c>
      <c r="K26" s="12">
        <f t="shared" si="2"/>
        <v>3</v>
      </c>
      <c r="L26" s="12" t="s">
        <v>118</v>
      </c>
      <c r="M26" s="2" t="s">
        <v>5</v>
      </c>
      <c r="N26" s="5" t="s">
        <v>6</v>
      </c>
      <c r="O26" s="3">
        <f t="shared" si="3"/>
        <v>82500</v>
      </c>
      <c r="P26" s="3">
        <f>SUM(Q26:BM26)</f>
        <v>82500</v>
      </c>
      <c r="Q26" s="30"/>
      <c r="R26" s="31"/>
      <c r="S26" s="31"/>
      <c r="T26" s="31"/>
      <c r="U26" s="31"/>
      <c r="V26" s="31"/>
      <c r="W26" s="32"/>
      <c r="X26" s="30"/>
      <c r="Y26" s="31"/>
      <c r="Z26" s="31"/>
      <c r="AA26" s="31">
        <v>82500</v>
      </c>
      <c r="AB26" s="31"/>
      <c r="AC26" s="31"/>
      <c r="AD26" s="35"/>
      <c r="AE26" s="30"/>
      <c r="AF26" s="31"/>
      <c r="AG26" s="21"/>
      <c r="AH26" s="21"/>
      <c r="AI26" s="21"/>
      <c r="AJ26" s="21"/>
      <c r="AK26" s="22"/>
      <c r="AL26" s="20"/>
      <c r="AM26" s="21"/>
      <c r="AN26" s="21"/>
      <c r="AO26" s="21"/>
      <c r="AP26" s="21"/>
      <c r="AQ26" s="21"/>
      <c r="AR26" s="22"/>
      <c r="AS26" s="20"/>
      <c r="AT26" s="21"/>
      <c r="AU26" s="21"/>
      <c r="AV26" s="21"/>
      <c r="AW26" s="21"/>
      <c r="AX26" s="21"/>
      <c r="AY26" s="22"/>
      <c r="AZ26" s="20"/>
      <c r="BA26" s="21"/>
      <c r="BB26" s="21"/>
      <c r="BC26" s="21"/>
      <c r="BD26" s="21"/>
      <c r="BE26" s="21"/>
      <c r="BF26" s="22"/>
      <c r="BG26" s="20"/>
      <c r="BH26" s="21"/>
      <c r="BI26" s="21"/>
      <c r="BJ26" s="21"/>
      <c r="BK26" s="21"/>
      <c r="BL26" s="21"/>
      <c r="BM26" s="22"/>
    </row>
    <row r="27" spans="1:65" x14ac:dyDescent="0.25">
      <c r="A27" s="2">
        <v>7692795</v>
      </c>
      <c r="B27" t="s">
        <v>70</v>
      </c>
      <c r="C27" s="2">
        <v>6012505427</v>
      </c>
      <c r="D27" s="5" t="s">
        <v>32</v>
      </c>
      <c r="E27" s="2">
        <v>9</v>
      </c>
      <c r="F27" s="14">
        <v>45461</v>
      </c>
      <c r="G27" s="14">
        <f>F27-K27</f>
        <v>45458</v>
      </c>
      <c r="H27" t="s">
        <v>57</v>
      </c>
      <c r="I27" s="12">
        <v>1</v>
      </c>
      <c r="J27" s="12">
        <v>2</v>
      </c>
      <c r="K27" s="12">
        <f t="shared" si="2"/>
        <v>3</v>
      </c>
      <c r="L27" s="12" t="s">
        <v>118</v>
      </c>
      <c r="M27" s="2" t="s">
        <v>5</v>
      </c>
      <c r="N27" s="5" t="s">
        <v>6</v>
      </c>
      <c r="O27" s="3">
        <f t="shared" si="3"/>
        <v>82500</v>
      </c>
      <c r="P27" s="3">
        <f>SUM(Q27:BM27)</f>
        <v>247500</v>
      </c>
      <c r="Q27" s="30"/>
      <c r="R27" s="31"/>
      <c r="S27" s="31"/>
      <c r="T27" s="31"/>
      <c r="U27" s="31"/>
      <c r="V27" s="31"/>
      <c r="W27" s="32"/>
      <c r="X27" s="30"/>
      <c r="Y27" s="31"/>
      <c r="Z27" s="31"/>
      <c r="AA27" s="31"/>
      <c r="AB27" s="31"/>
      <c r="AC27" s="31">
        <v>82500</v>
      </c>
      <c r="AD27" s="32"/>
      <c r="AE27" s="30"/>
      <c r="AF27" s="31"/>
      <c r="AG27" s="21">
        <v>82500</v>
      </c>
      <c r="AH27" s="21"/>
      <c r="AI27" s="21"/>
      <c r="AJ27" s="21"/>
      <c r="AK27" s="22"/>
      <c r="AL27" s="20">
        <v>82500</v>
      </c>
      <c r="AM27" s="23"/>
      <c r="AN27" s="23"/>
      <c r="AO27" s="23"/>
      <c r="AP27" s="21"/>
      <c r="AQ27" s="21"/>
      <c r="AR27" s="22"/>
      <c r="AS27" s="20"/>
      <c r="AT27" s="21"/>
      <c r="AU27" s="21"/>
      <c r="AV27" s="21"/>
      <c r="AW27" s="21"/>
      <c r="AX27" s="21"/>
      <c r="AY27" s="22"/>
      <c r="AZ27" s="20"/>
      <c r="BA27" s="21"/>
      <c r="BB27" s="21"/>
      <c r="BC27" s="21"/>
      <c r="BD27" s="21"/>
      <c r="BE27" s="21"/>
      <c r="BF27" s="22"/>
      <c r="BG27" s="20"/>
      <c r="BH27" s="21"/>
      <c r="BI27" s="21"/>
      <c r="BJ27" s="21"/>
      <c r="BK27" s="21"/>
      <c r="BL27" s="21"/>
      <c r="BM27" s="22"/>
    </row>
    <row r="28" spans="1:65" x14ac:dyDescent="0.25">
      <c r="A28" s="2">
        <v>7692795</v>
      </c>
      <c r="B28" t="s">
        <v>70</v>
      </c>
      <c r="C28" s="2">
        <v>6012505770</v>
      </c>
      <c r="D28" s="5" t="s">
        <v>32</v>
      </c>
      <c r="E28" s="2">
        <v>9</v>
      </c>
      <c r="F28" s="14">
        <v>45463</v>
      </c>
      <c r="G28" s="14">
        <f>F28-K28</f>
        <v>45460</v>
      </c>
      <c r="H28" t="s">
        <v>57</v>
      </c>
      <c r="I28" s="12">
        <v>1</v>
      </c>
      <c r="J28" s="12">
        <v>2</v>
      </c>
      <c r="K28" s="12">
        <f t="shared" si="2"/>
        <v>3</v>
      </c>
      <c r="L28" s="12" t="s">
        <v>118</v>
      </c>
      <c r="M28" s="2" t="s">
        <v>5</v>
      </c>
      <c r="N28" s="5" t="s">
        <v>6</v>
      </c>
      <c r="O28" s="3">
        <f t="shared" si="3"/>
        <v>82500</v>
      </c>
      <c r="P28" s="3">
        <f>SUM(Q28:BM28)</f>
        <v>220000</v>
      </c>
      <c r="Q28" s="30"/>
      <c r="R28" s="31"/>
      <c r="S28" s="31"/>
      <c r="T28" s="31"/>
      <c r="U28" s="31"/>
      <c r="V28" s="31"/>
      <c r="W28" s="32"/>
      <c r="X28" s="30"/>
      <c r="Y28" s="31"/>
      <c r="Z28" s="31"/>
      <c r="AA28" s="31"/>
      <c r="AB28" s="31"/>
      <c r="AC28" s="31"/>
      <c r="AD28" s="32"/>
      <c r="AE28" s="30">
        <v>82500</v>
      </c>
      <c r="AF28" s="31"/>
      <c r="AG28" s="21"/>
      <c r="AH28" s="21"/>
      <c r="AI28" s="21">
        <v>82500</v>
      </c>
      <c r="AJ28" s="21"/>
      <c r="AK28" s="22"/>
      <c r="AL28" s="20"/>
      <c r="AM28" s="21"/>
      <c r="AN28" s="21">
        <v>55000</v>
      </c>
      <c r="AO28" s="23"/>
      <c r="AP28" s="23"/>
      <c r="AQ28" s="23"/>
      <c r="AR28" s="22"/>
      <c r="AS28" s="20"/>
      <c r="AT28" s="21"/>
      <c r="AU28" s="21"/>
      <c r="AV28" s="21"/>
      <c r="AW28" s="21"/>
      <c r="AX28" s="21"/>
      <c r="AY28" s="22"/>
      <c r="AZ28" s="20"/>
      <c r="BA28" s="21"/>
      <c r="BB28" s="21"/>
      <c r="BC28" s="21"/>
      <c r="BD28" s="21"/>
      <c r="BE28" s="21"/>
      <c r="BF28" s="22"/>
      <c r="BG28" s="20"/>
      <c r="BH28" s="21"/>
      <c r="BI28" s="21"/>
      <c r="BJ28" s="21"/>
      <c r="BK28" s="21"/>
      <c r="BL28" s="21"/>
      <c r="BM28" s="22"/>
    </row>
    <row r="29" spans="1:65" x14ac:dyDescent="0.25">
      <c r="A29" s="2">
        <v>7692731</v>
      </c>
      <c r="B29" t="s">
        <v>72</v>
      </c>
      <c r="C29" s="2">
        <v>6012500733</v>
      </c>
      <c r="D29" s="5" t="s">
        <v>63</v>
      </c>
      <c r="E29" s="2">
        <v>4</v>
      </c>
      <c r="F29" s="14">
        <v>45461</v>
      </c>
      <c r="G29" s="14">
        <f>F29-K29</f>
        <v>45457</v>
      </c>
      <c r="H29" t="s">
        <v>60</v>
      </c>
      <c r="I29" s="12">
        <v>2</v>
      </c>
      <c r="J29" s="12">
        <v>2</v>
      </c>
      <c r="K29" s="12">
        <f t="shared" si="2"/>
        <v>4</v>
      </c>
      <c r="L29" s="12" t="s">
        <v>116</v>
      </c>
      <c r="M29" s="2" t="s">
        <v>5</v>
      </c>
      <c r="N29" s="5" t="s">
        <v>6</v>
      </c>
      <c r="O29" s="3">
        <f t="shared" si="3"/>
        <v>2500</v>
      </c>
      <c r="P29" s="3">
        <f>SUM(Q29:BM29)</f>
        <v>17500</v>
      </c>
      <c r="Q29" s="30"/>
      <c r="R29" s="31"/>
      <c r="S29" s="31"/>
      <c r="T29" s="31"/>
      <c r="U29" s="31"/>
      <c r="V29" s="31"/>
      <c r="W29" s="32"/>
      <c r="X29" s="30"/>
      <c r="Y29" s="31"/>
      <c r="Z29" s="31"/>
      <c r="AA29" s="31"/>
      <c r="AB29" s="31">
        <v>2500</v>
      </c>
      <c r="AC29" s="31"/>
      <c r="AD29" s="32"/>
      <c r="AE29" s="30"/>
      <c r="AF29" s="31"/>
      <c r="AG29" s="21"/>
      <c r="AH29" s="21"/>
      <c r="AI29" s="21">
        <v>15000</v>
      </c>
      <c r="AJ29" s="23"/>
      <c r="AK29" s="27"/>
      <c r="AL29" s="28"/>
      <c r="AM29" s="23"/>
      <c r="AN29" s="21"/>
      <c r="AO29" s="21"/>
      <c r="AP29" s="21"/>
      <c r="AQ29" s="21"/>
      <c r="AR29" s="22"/>
      <c r="AS29" s="20"/>
      <c r="AT29" s="21"/>
      <c r="AU29" s="21"/>
      <c r="AV29" s="21"/>
      <c r="AW29" s="21"/>
      <c r="AX29" s="21"/>
      <c r="AY29" s="22"/>
      <c r="AZ29" s="20"/>
      <c r="BA29" s="21"/>
      <c r="BB29" s="21"/>
      <c r="BC29" s="21"/>
      <c r="BD29" s="21"/>
      <c r="BE29" s="21"/>
      <c r="BF29" s="22"/>
      <c r="BG29" s="20"/>
      <c r="BH29" s="21"/>
      <c r="BI29" s="21"/>
      <c r="BJ29" s="21"/>
      <c r="BK29" s="21"/>
      <c r="BL29" s="21"/>
      <c r="BM29" s="22"/>
    </row>
    <row r="30" spans="1:65" x14ac:dyDescent="0.25">
      <c r="A30" s="2">
        <v>7600125</v>
      </c>
      <c r="B30" t="s">
        <v>73</v>
      </c>
      <c r="C30" s="2">
        <v>6012506320</v>
      </c>
      <c r="D30" s="5" t="s">
        <v>78</v>
      </c>
      <c r="E30" s="2">
        <v>6</v>
      </c>
      <c r="F30" s="14">
        <v>45467</v>
      </c>
      <c r="G30" s="14">
        <f>F30-K30</f>
        <v>45462</v>
      </c>
      <c r="H30" t="s">
        <v>58</v>
      </c>
      <c r="I30" s="12">
        <v>3</v>
      </c>
      <c r="J30" s="12">
        <v>2</v>
      </c>
      <c r="K30" s="12">
        <f t="shared" si="2"/>
        <v>5</v>
      </c>
      <c r="L30" s="12" t="s">
        <v>116</v>
      </c>
      <c r="M30" s="2" t="s">
        <v>5</v>
      </c>
      <c r="N30" s="5" t="s">
        <v>6</v>
      </c>
      <c r="O30" s="3">
        <f t="shared" si="3"/>
        <v>0</v>
      </c>
      <c r="P30" s="3">
        <f>SUM(Q30:BM30)</f>
        <v>113750</v>
      </c>
      <c r="Q30" s="30"/>
      <c r="R30" s="31"/>
      <c r="S30" s="31"/>
      <c r="T30" s="31"/>
      <c r="U30" s="31"/>
      <c r="V30" s="31"/>
      <c r="W30" s="32"/>
      <c r="X30" s="30"/>
      <c r="Y30" s="31"/>
      <c r="Z30" s="31"/>
      <c r="AA30" s="31"/>
      <c r="AB30" s="31"/>
      <c r="AC30" s="31"/>
      <c r="AD30" s="32"/>
      <c r="AE30" s="30"/>
      <c r="AF30" s="31"/>
      <c r="AG30" s="21">
        <v>113750</v>
      </c>
      <c r="AH30" s="21"/>
      <c r="AI30" s="21"/>
      <c r="AJ30" s="21"/>
      <c r="AK30" s="22"/>
      <c r="AL30" s="28"/>
      <c r="AM30" s="21"/>
      <c r="AN30" s="21"/>
      <c r="AO30" s="21"/>
      <c r="AP30" s="21"/>
      <c r="AQ30" s="21"/>
      <c r="AR30" s="22"/>
      <c r="AS30" s="20"/>
      <c r="AT30" s="21"/>
      <c r="AU30" s="21"/>
      <c r="AV30" s="21"/>
      <c r="AW30" s="21"/>
      <c r="AX30" s="21"/>
      <c r="AY30" s="22"/>
      <c r="AZ30" s="20"/>
      <c r="BA30" s="21"/>
      <c r="BB30" s="21"/>
      <c r="BC30" s="21"/>
      <c r="BD30" s="21"/>
      <c r="BE30" s="21"/>
      <c r="BF30" s="22"/>
      <c r="BG30" s="20"/>
      <c r="BH30" s="21"/>
      <c r="BI30" s="21"/>
      <c r="BJ30" s="21"/>
      <c r="BK30" s="21"/>
      <c r="BL30" s="21"/>
      <c r="BM30" s="22"/>
    </row>
    <row r="31" spans="1:65" x14ac:dyDescent="0.25">
      <c r="A31" s="2">
        <v>7600154</v>
      </c>
      <c r="B31" t="s">
        <v>74</v>
      </c>
      <c r="C31" s="2">
        <v>6012506417</v>
      </c>
      <c r="D31" s="5" t="s">
        <v>17</v>
      </c>
      <c r="E31" s="2">
        <v>12</v>
      </c>
      <c r="F31" s="14">
        <v>45472</v>
      </c>
      <c r="G31" s="14">
        <f>F31-K31</f>
        <v>45467</v>
      </c>
      <c r="H31" t="s">
        <v>58</v>
      </c>
      <c r="I31" s="12">
        <v>3</v>
      </c>
      <c r="J31" s="12">
        <v>2</v>
      </c>
      <c r="K31" s="12">
        <f t="shared" si="2"/>
        <v>5</v>
      </c>
      <c r="L31" s="12" t="s">
        <v>116</v>
      </c>
      <c r="M31" s="2" t="s">
        <v>5</v>
      </c>
      <c r="N31" s="5" t="s">
        <v>6</v>
      </c>
      <c r="O31" s="3">
        <f t="shared" si="3"/>
        <v>0</v>
      </c>
      <c r="P31" s="3">
        <f>SUM(Q31:BM31)</f>
        <v>50000</v>
      </c>
      <c r="Q31" s="30"/>
      <c r="R31" s="31"/>
      <c r="S31" s="31"/>
      <c r="T31" s="31"/>
      <c r="U31" s="31"/>
      <c r="V31" s="31"/>
      <c r="W31" s="32"/>
      <c r="X31" s="30"/>
      <c r="Y31" s="31"/>
      <c r="Z31" s="31"/>
      <c r="AA31" s="31"/>
      <c r="AB31" s="31"/>
      <c r="AC31" s="31"/>
      <c r="AD31" s="32"/>
      <c r="AE31" s="30"/>
      <c r="AF31" s="31"/>
      <c r="AG31" s="21"/>
      <c r="AH31" s="21"/>
      <c r="AI31" s="21"/>
      <c r="AJ31" s="21"/>
      <c r="AK31" s="22"/>
      <c r="AL31" s="20">
        <v>50000</v>
      </c>
      <c r="AM31" s="21"/>
      <c r="AN31" s="21"/>
      <c r="AO31" s="21"/>
      <c r="AP31" s="21"/>
      <c r="AQ31" s="23"/>
      <c r="AR31" s="22"/>
      <c r="AS31" s="20"/>
      <c r="AT31" s="21"/>
      <c r="AU31" s="21"/>
      <c r="AV31" s="21"/>
      <c r="AW31" s="21"/>
      <c r="AX31" s="21"/>
      <c r="AY31" s="22"/>
      <c r="AZ31" s="20"/>
      <c r="BA31" s="21"/>
      <c r="BB31" s="21"/>
      <c r="BC31" s="21"/>
      <c r="BD31" s="21"/>
      <c r="BE31" s="21"/>
      <c r="BF31" s="22"/>
      <c r="BG31" s="20"/>
      <c r="BH31" s="21"/>
      <c r="BI31" s="21"/>
      <c r="BJ31" s="21"/>
      <c r="BK31" s="21"/>
      <c r="BL31" s="21"/>
      <c r="BM31" s="22"/>
    </row>
    <row r="32" spans="1:65" x14ac:dyDescent="0.25">
      <c r="A32" s="2">
        <v>7600154</v>
      </c>
      <c r="B32" t="s">
        <v>74</v>
      </c>
      <c r="C32" s="2">
        <v>6012506528</v>
      </c>
      <c r="D32" s="5" t="s">
        <v>17</v>
      </c>
      <c r="E32" s="2">
        <v>12</v>
      </c>
      <c r="F32" s="14">
        <v>45467</v>
      </c>
      <c r="G32" s="14">
        <f>F32-K32</f>
        <v>45462</v>
      </c>
      <c r="H32" t="s">
        <v>58</v>
      </c>
      <c r="I32" s="12">
        <v>3</v>
      </c>
      <c r="J32" s="12">
        <v>2</v>
      </c>
      <c r="K32" s="12">
        <f t="shared" si="2"/>
        <v>5</v>
      </c>
      <c r="L32" s="12" t="s">
        <v>116</v>
      </c>
      <c r="M32" s="2" t="s">
        <v>5</v>
      </c>
      <c r="N32" s="5" t="s">
        <v>6</v>
      </c>
      <c r="O32" s="3">
        <f t="shared" si="3"/>
        <v>0</v>
      </c>
      <c r="P32" s="3">
        <f>SUM(Q32:BM32)</f>
        <v>60000</v>
      </c>
      <c r="Q32" s="30"/>
      <c r="R32" s="31"/>
      <c r="S32" s="31"/>
      <c r="T32" s="31"/>
      <c r="U32" s="31"/>
      <c r="V32" s="31"/>
      <c r="W32" s="32"/>
      <c r="X32" s="30"/>
      <c r="Y32" s="31"/>
      <c r="Z32" s="31"/>
      <c r="AA32" s="31"/>
      <c r="AB32" s="31"/>
      <c r="AC32" s="31"/>
      <c r="AD32" s="32"/>
      <c r="AE32" s="30"/>
      <c r="AF32" s="31"/>
      <c r="AG32" s="21">
        <v>60000</v>
      </c>
      <c r="AH32" s="21"/>
      <c r="AI32" s="21"/>
      <c r="AJ32" s="21"/>
      <c r="AK32" s="22"/>
      <c r="AL32" s="28"/>
      <c r="AM32" s="21"/>
      <c r="AN32" s="21"/>
      <c r="AO32" s="21"/>
      <c r="AP32" s="21"/>
      <c r="AQ32" s="21"/>
      <c r="AR32" s="22"/>
      <c r="AS32" s="20"/>
      <c r="AT32" s="21"/>
      <c r="AU32" s="21"/>
      <c r="AV32" s="21"/>
      <c r="AW32" s="21"/>
      <c r="AX32" s="21"/>
      <c r="AY32" s="22"/>
      <c r="AZ32" s="20"/>
      <c r="BA32" s="21"/>
      <c r="BB32" s="21"/>
      <c r="BC32" s="21"/>
      <c r="BD32" s="21"/>
      <c r="BE32" s="21"/>
      <c r="BF32" s="22"/>
      <c r="BG32" s="20"/>
      <c r="BH32" s="21"/>
      <c r="BI32" s="21"/>
      <c r="BJ32" s="21"/>
      <c r="BK32" s="21"/>
      <c r="BL32" s="21"/>
      <c r="BM32" s="22"/>
    </row>
    <row r="33" spans="1:65" x14ac:dyDescent="0.25">
      <c r="A33" s="2">
        <v>7600154</v>
      </c>
      <c r="B33" t="s">
        <v>75</v>
      </c>
      <c r="C33" s="2">
        <v>6012506418</v>
      </c>
      <c r="D33" s="5" t="s">
        <v>17</v>
      </c>
      <c r="E33" s="2">
        <v>12</v>
      </c>
      <c r="F33" s="14">
        <v>45471</v>
      </c>
      <c r="G33" s="14">
        <f>F33-K33</f>
        <v>45466</v>
      </c>
      <c r="H33" t="s">
        <v>58</v>
      </c>
      <c r="I33" s="12">
        <v>3</v>
      </c>
      <c r="J33" s="12">
        <v>2</v>
      </c>
      <c r="K33" s="12">
        <f t="shared" si="2"/>
        <v>5</v>
      </c>
      <c r="L33" s="12" t="s">
        <v>116</v>
      </c>
      <c r="M33" s="2" t="s">
        <v>5</v>
      </c>
      <c r="N33" s="5" t="s">
        <v>6</v>
      </c>
      <c r="O33" s="3">
        <f t="shared" si="3"/>
        <v>0</v>
      </c>
      <c r="P33" s="3">
        <f>SUM(Q33:BM33)</f>
        <v>80000</v>
      </c>
      <c r="Q33" s="30"/>
      <c r="R33" s="31"/>
      <c r="S33" s="31"/>
      <c r="T33" s="31"/>
      <c r="U33" s="31"/>
      <c r="V33" s="31"/>
      <c r="W33" s="32"/>
      <c r="X33" s="30"/>
      <c r="Y33" s="31"/>
      <c r="Z33" s="31"/>
      <c r="AA33" s="31"/>
      <c r="AB33" s="31"/>
      <c r="AC33" s="31"/>
      <c r="AD33" s="32"/>
      <c r="AE33" s="30"/>
      <c r="AF33" s="31"/>
      <c r="AG33" s="21"/>
      <c r="AH33" s="21"/>
      <c r="AI33" s="21"/>
      <c r="AJ33" s="21"/>
      <c r="AK33" s="22">
        <v>80000</v>
      </c>
      <c r="AL33" s="20"/>
      <c r="AM33" s="21"/>
      <c r="AN33" s="21"/>
      <c r="AO33" s="21"/>
      <c r="AP33" s="23"/>
      <c r="AQ33" s="21"/>
      <c r="AR33" s="22"/>
      <c r="AS33" s="20"/>
      <c r="AT33" s="21"/>
      <c r="AU33" s="21"/>
      <c r="AV33" s="21"/>
      <c r="AW33" s="21"/>
      <c r="AX33" s="21"/>
      <c r="AY33" s="22"/>
      <c r="AZ33" s="20"/>
      <c r="BA33" s="21"/>
      <c r="BB33" s="21"/>
      <c r="BC33" s="21"/>
      <c r="BD33" s="21"/>
      <c r="BE33" s="21"/>
      <c r="BF33" s="22"/>
      <c r="BG33" s="20"/>
      <c r="BH33" s="21"/>
      <c r="BI33" s="21"/>
      <c r="BJ33" s="21"/>
      <c r="BK33" s="21"/>
      <c r="BL33" s="21"/>
      <c r="BM33" s="22"/>
    </row>
    <row r="34" spans="1:65" x14ac:dyDescent="0.25">
      <c r="A34" s="2">
        <v>7692793</v>
      </c>
      <c r="B34" t="s">
        <v>76</v>
      </c>
      <c r="C34" s="2">
        <v>6012505647</v>
      </c>
      <c r="D34" s="5" t="s">
        <v>79</v>
      </c>
      <c r="E34" s="2">
        <v>9</v>
      </c>
      <c r="F34" s="14">
        <v>45460</v>
      </c>
      <c r="G34" s="14">
        <f>F34-K34</f>
        <v>45457</v>
      </c>
      <c r="H34" t="s">
        <v>57</v>
      </c>
      <c r="I34" s="12">
        <v>1</v>
      </c>
      <c r="J34" s="12">
        <v>2</v>
      </c>
      <c r="K34" s="12">
        <f t="shared" si="2"/>
        <v>3</v>
      </c>
      <c r="L34" s="12" t="s">
        <v>118</v>
      </c>
      <c r="M34" s="2" t="s">
        <v>5</v>
      </c>
      <c r="N34" s="5" t="s">
        <v>6</v>
      </c>
      <c r="O34" s="3">
        <f t="shared" si="3"/>
        <v>81250</v>
      </c>
      <c r="P34" s="3">
        <f>SUM(Q34:BM34)</f>
        <v>81250</v>
      </c>
      <c r="Q34" s="30"/>
      <c r="R34" s="31"/>
      <c r="S34" s="31"/>
      <c r="T34" s="31"/>
      <c r="U34" s="31"/>
      <c r="V34" s="31"/>
      <c r="W34" s="32"/>
      <c r="X34" s="30"/>
      <c r="Y34" s="31"/>
      <c r="Z34" s="31"/>
      <c r="AA34" s="31"/>
      <c r="AB34" s="31">
        <v>81250</v>
      </c>
      <c r="AC34" s="31"/>
      <c r="AD34" s="32"/>
      <c r="AE34" s="36"/>
      <c r="AF34" s="31"/>
      <c r="AG34" s="21"/>
      <c r="AH34" s="21"/>
      <c r="AI34" s="21"/>
      <c r="AJ34" s="21"/>
      <c r="AK34" s="22"/>
      <c r="AL34" s="20"/>
      <c r="AM34" s="21"/>
      <c r="AN34" s="21"/>
      <c r="AO34" s="21"/>
      <c r="AP34" s="21"/>
      <c r="AQ34" s="21"/>
      <c r="AR34" s="22"/>
      <c r="AS34" s="20"/>
      <c r="AT34" s="21"/>
      <c r="AU34" s="21"/>
      <c r="AV34" s="21"/>
      <c r="AW34" s="21"/>
      <c r="AX34" s="21"/>
      <c r="AY34" s="22"/>
      <c r="AZ34" s="20"/>
      <c r="BA34" s="21"/>
      <c r="BB34" s="21"/>
      <c r="BC34" s="21"/>
      <c r="BD34" s="21"/>
      <c r="BE34" s="21"/>
      <c r="BF34" s="22"/>
      <c r="BG34" s="20"/>
      <c r="BH34" s="21"/>
      <c r="BI34" s="21"/>
      <c r="BJ34" s="21"/>
      <c r="BK34" s="21"/>
      <c r="BL34" s="21"/>
      <c r="BM34" s="22"/>
    </row>
    <row r="35" spans="1:65" x14ac:dyDescent="0.25">
      <c r="A35" s="2">
        <v>7692793</v>
      </c>
      <c r="B35" t="s">
        <v>76</v>
      </c>
      <c r="C35" s="2">
        <v>6012505977</v>
      </c>
      <c r="D35" s="5" t="s">
        <v>79</v>
      </c>
      <c r="E35" s="2">
        <v>9</v>
      </c>
      <c r="F35" s="14">
        <v>45468</v>
      </c>
      <c r="G35" s="14">
        <f>F35-K35</f>
        <v>45465</v>
      </c>
      <c r="H35" t="s">
        <v>57</v>
      </c>
      <c r="I35" s="12">
        <v>1</v>
      </c>
      <c r="J35" s="12">
        <v>2</v>
      </c>
      <c r="K35" s="12">
        <f t="shared" si="2"/>
        <v>3</v>
      </c>
      <c r="L35" s="12" t="s">
        <v>118</v>
      </c>
      <c r="M35" s="2" t="s">
        <v>5</v>
      </c>
      <c r="N35" s="5" t="s">
        <v>6</v>
      </c>
      <c r="O35" s="3">
        <f t="shared" si="3"/>
        <v>0</v>
      </c>
      <c r="P35" s="3">
        <f>SUM(Q35:BM35)</f>
        <v>107500</v>
      </c>
      <c r="Q35" s="30"/>
      <c r="R35" s="31"/>
      <c r="S35" s="31"/>
      <c r="T35" s="31"/>
      <c r="U35" s="31"/>
      <c r="V35" s="31"/>
      <c r="W35" s="32"/>
      <c r="X35" s="30"/>
      <c r="Y35" s="31"/>
      <c r="Z35" s="31"/>
      <c r="AA35" s="31"/>
      <c r="AB35" s="31"/>
      <c r="AC35" s="31"/>
      <c r="AD35" s="32"/>
      <c r="AE35" s="33"/>
      <c r="AF35" s="31"/>
      <c r="AG35" s="21"/>
      <c r="AH35" s="21"/>
      <c r="AI35" s="21"/>
      <c r="AJ35" s="21">
        <v>107500</v>
      </c>
      <c r="AK35" s="22"/>
      <c r="AL35" s="20"/>
      <c r="AM35" s="23"/>
      <c r="AN35" s="21"/>
      <c r="AO35" s="21"/>
      <c r="AP35" s="21"/>
      <c r="AQ35" s="21"/>
      <c r="AR35" s="22"/>
      <c r="AS35" s="20"/>
      <c r="AT35" s="21"/>
      <c r="AU35" s="21"/>
      <c r="AV35" s="21"/>
      <c r="AW35" s="21"/>
      <c r="AX35" s="21"/>
      <c r="AY35" s="22"/>
      <c r="AZ35" s="20"/>
      <c r="BA35" s="21"/>
      <c r="BB35" s="21"/>
      <c r="BC35" s="21"/>
      <c r="BD35" s="21"/>
      <c r="BE35" s="21"/>
      <c r="BF35" s="22"/>
      <c r="BG35" s="20"/>
      <c r="BH35" s="21"/>
      <c r="BI35" s="21"/>
      <c r="BJ35" s="21"/>
      <c r="BK35" s="21"/>
      <c r="BL35" s="21"/>
      <c r="BM35" s="22"/>
    </row>
    <row r="36" spans="1:65" x14ac:dyDescent="0.25">
      <c r="A36" s="2">
        <v>7622071</v>
      </c>
      <c r="B36" t="s">
        <v>82</v>
      </c>
      <c r="C36" s="2">
        <v>6012507720</v>
      </c>
      <c r="D36" s="5" t="s">
        <v>80</v>
      </c>
      <c r="E36" s="2">
        <v>12</v>
      </c>
      <c r="F36" s="14">
        <v>45462</v>
      </c>
      <c r="G36" s="14">
        <f>F36-K36</f>
        <v>45458</v>
      </c>
      <c r="H36" t="s">
        <v>59</v>
      </c>
      <c r="I36" s="12">
        <v>2</v>
      </c>
      <c r="J36" s="12">
        <v>2</v>
      </c>
      <c r="K36" s="12">
        <f t="shared" ref="K36:K64" si="4">I36+J36</f>
        <v>4</v>
      </c>
      <c r="L36" s="12" t="s">
        <v>116</v>
      </c>
      <c r="M36" s="2" t="s">
        <v>5</v>
      </c>
      <c r="N36" s="5" t="s">
        <v>6</v>
      </c>
      <c r="O36" s="3">
        <f t="shared" si="3"/>
        <v>60000</v>
      </c>
      <c r="P36" s="3">
        <f>SUM(Q36:BM36)</f>
        <v>175000</v>
      </c>
      <c r="Q36" s="30"/>
      <c r="R36" s="31"/>
      <c r="S36" s="31"/>
      <c r="T36" s="31"/>
      <c r="U36" s="31"/>
      <c r="V36" s="31"/>
      <c r="W36" s="32"/>
      <c r="X36" s="30"/>
      <c r="Y36" s="31"/>
      <c r="Z36" s="31"/>
      <c r="AA36" s="31"/>
      <c r="AB36" s="31"/>
      <c r="AC36" s="31">
        <v>2500</v>
      </c>
      <c r="AD36" s="32"/>
      <c r="AE36" s="30"/>
      <c r="AF36" s="31">
        <v>57500</v>
      </c>
      <c r="AG36" s="21"/>
      <c r="AH36" s="21"/>
      <c r="AI36" s="21">
        <v>57500</v>
      </c>
      <c r="AJ36" s="21"/>
      <c r="AK36" s="22"/>
      <c r="AL36" s="20">
        <v>57500</v>
      </c>
      <c r="AM36" s="23"/>
      <c r="AN36" s="23"/>
      <c r="AO36" s="23"/>
      <c r="AP36" s="23"/>
      <c r="AQ36" s="21"/>
      <c r="AR36" s="22"/>
      <c r="AS36" s="20"/>
      <c r="AT36" s="21"/>
      <c r="AU36" s="21"/>
      <c r="AV36" s="21"/>
      <c r="AW36" s="21"/>
      <c r="AX36" s="21"/>
      <c r="AY36" s="22"/>
      <c r="AZ36" s="20"/>
      <c r="BA36" s="21"/>
      <c r="BB36" s="21"/>
      <c r="BC36" s="21"/>
      <c r="BD36" s="21"/>
      <c r="BE36" s="21"/>
      <c r="BF36" s="22"/>
      <c r="BG36" s="20"/>
      <c r="BH36" s="21"/>
      <c r="BI36" s="21"/>
      <c r="BJ36" s="21"/>
      <c r="BK36" s="21"/>
      <c r="BL36" s="21"/>
      <c r="BM36" s="22"/>
    </row>
    <row r="37" spans="1:65" x14ac:dyDescent="0.25">
      <c r="A37" s="2">
        <v>7600152</v>
      </c>
      <c r="B37" t="s">
        <v>71</v>
      </c>
      <c r="C37" s="2">
        <v>6012507174</v>
      </c>
      <c r="D37" s="5" t="s">
        <v>24</v>
      </c>
      <c r="E37" s="2">
        <v>9</v>
      </c>
      <c r="F37" s="14">
        <v>45468</v>
      </c>
      <c r="G37" s="14">
        <f>F37-K37</f>
        <v>45460</v>
      </c>
      <c r="H37" t="s">
        <v>58</v>
      </c>
      <c r="I37" s="12">
        <v>6</v>
      </c>
      <c r="J37" s="12">
        <v>2</v>
      </c>
      <c r="K37" s="12">
        <f t="shared" si="4"/>
        <v>8</v>
      </c>
      <c r="L37" s="12" t="s">
        <v>117</v>
      </c>
      <c r="M37" s="2" t="s">
        <v>5</v>
      </c>
      <c r="N37" s="5" t="s">
        <v>6</v>
      </c>
      <c r="O37" s="3">
        <f t="shared" si="3"/>
        <v>150000</v>
      </c>
      <c r="P37" s="3">
        <f>SUM(Q37:BM37)</f>
        <v>150000</v>
      </c>
      <c r="Q37" s="30"/>
      <c r="R37" s="31"/>
      <c r="S37" s="31"/>
      <c r="T37" s="31"/>
      <c r="U37" s="31"/>
      <c r="V37" s="31"/>
      <c r="W37" s="32"/>
      <c r="X37" s="30"/>
      <c r="Y37" s="31"/>
      <c r="Z37" s="31"/>
      <c r="AA37" s="31"/>
      <c r="AB37" s="31"/>
      <c r="AC37" s="31"/>
      <c r="AD37" s="32"/>
      <c r="AE37" s="30">
        <v>150000</v>
      </c>
      <c r="AF37" s="31"/>
      <c r="AG37" s="21"/>
      <c r="AH37" s="21"/>
      <c r="AI37" s="21"/>
      <c r="AJ37" s="21"/>
      <c r="AK37" s="22"/>
      <c r="AL37" s="20"/>
      <c r="AM37" s="23"/>
      <c r="AN37" s="21"/>
      <c r="AO37" s="21"/>
      <c r="AP37" s="21"/>
      <c r="AQ37" s="21"/>
      <c r="AR37" s="22"/>
      <c r="AS37" s="20"/>
      <c r="AT37" s="21"/>
      <c r="AU37" s="21"/>
      <c r="AV37" s="21"/>
      <c r="AW37" s="21"/>
      <c r="AX37" s="21"/>
      <c r="AY37" s="22"/>
      <c r="AZ37" s="20"/>
      <c r="BA37" s="21"/>
      <c r="BB37" s="21"/>
      <c r="BC37" s="21"/>
      <c r="BD37" s="21"/>
      <c r="BE37" s="21"/>
      <c r="BF37" s="22"/>
      <c r="BG37" s="20"/>
      <c r="BH37" s="21"/>
      <c r="BI37" s="21"/>
      <c r="BJ37" s="21"/>
      <c r="BK37" s="21"/>
      <c r="BL37" s="21"/>
      <c r="BM37" s="22"/>
    </row>
    <row r="38" spans="1:65" x14ac:dyDescent="0.25">
      <c r="A38" s="2">
        <v>7692912</v>
      </c>
      <c r="B38" t="s">
        <v>54</v>
      </c>
      <c r="C38" s="2">
        <v>6012513746</v>
      </c>
      <c r="D38" s="5" t="s">
        <v>55</v>
      </c>
      <c r="E38" s="2">
        <v>4</v>
      </c>
      <c r="F38" s="14">
        <v>45460</v>
      </c>
      <c r="G38" s="14">
        <f>F38-K38</f>
        <v>45456</v>
      </c>
      <c r="H38" t="s">
        <v>59</v>
      </c>
      <c r="I38" s="12">
        <v>2</v>
      </c>
      <c r="J38" s="12">
        <v>2</v>
      </c>
      <c r="K38" s="12">
        <f t="shared" si="4"/>
        <v>4</v>
      </c>
      <c r="L38" s="12" t="s">
        <v>116</v>
      </c>
      <c r="M38" s="2" t="s">
        <v>5</v>
      </c>
      <c r="N38" s="5" t="s">
        <v>29</v>
      </c>
      <c r="O38" s="3">
        <f t="shared" si="3"/>
        <v>6450</v>
      </c>
      <c r="P38" s="3">
        <f>SUM(Q38:BM38)</f>
        <v>41450</v>
      </c>
      <c r="Q38" s="30"/>
      <c r="R38" s="31"/>
      <c r="S38" s="31"/>
      <c r="T38" s="31"/>
      <c r="U38" s="31"/>
      <c r="V38" s="31"/>
      <c r="W38" s="32"/>
      <c r="X38" s="30"/>
      <c r="Y38" s="31"/>
      <c r="Z38" s="31"/>
      <c r="AA38" s="31">
        <v>6450</v>
      </c>
      <c r="AB38" s="31"/>
      <c r="AC38" s="31"/>
      <c r="AD38" s="32"/>
      <c r="AE38" s="30"/>
      <c r="AF38" s="31"/>
      <c r="AG38" s="21"/>
      <c r="AH38" s="21">
        <v>15000</v>
      </c>
      <c r="AI38" s="21"/>
      <c r="AJ38" s="21"/>
      <c r="AK38" s="22"/>
      <c r="AL38" s="20"/>
      <c r="AM38" s="21"/>
      <c r="AN38" s="21"/>
      <c r="AO38" s="21">
        <v>20000</v>
      </c>
      <c r="AP38" s="23"/>
      <c r="AQ38" s="23"/>
      <c r="AR38" s="27"/>
      <c r="AS38" s="28"/>
      <c r="AT38" s="21"/>
      <c r="AU38" s="21"/>
      <c r="AV38" s="21"/>
      <c r="AW38" s="21"/>
      <c r="AX38" s="21"/>
      <c r="AY38" s="22"/>
      <c r="AZ38" s="20"/>
      <c r="BA38" s="21"/>
      <c r="BB38" s="21"/>
      <c r="BC38" s="21"/>
      <c r="BD38" s="21"/>
      <c r="BE38" s="21"/>
      <c r="BF38" s="22"/>
      <c r="BG38" s="20"/>
      <c r="BH38" s="21"/>
      <c r="BI38" s="21"/>
      <c r="BJ38" s="21"/>
      <c r="BK38" s="21"/>
      <c r="BL38" s="21"/>
      <c r="BM38" s="22"/>
    </row>
    <row r="39" spans="1:65" x14ac:dyDescent="0.25">
      <c r="A39" s="2">
        <v>7692912</v>
      </c>
      <c r="B39" t="s">
        <v>54</v>
      </c>
      <c r="C39" s="2">
        <v>6012514363</v>
      </c>
      <c r="D39" s="5" t="s">
        <v>55</v>
      </c>
      <c r="E39" s="2">
        <v>4</v>
      </c>
      <c r="F39" s="14">
        <v>45481</v>
      </c>
      <c r="G39" s="14">
        <f>F39-K39</f>
        <v>45477</v>
      </c>
      <c r="H39" t="s">
        <v>59</v>
      </c>
      <c r="I39" s="12">
        <v>2</v>
      </c>
      <c r="J39" s="12">
        <v>2</v>
      </c>
      <c r="K39" s="12">
        <f t="shared" si="4"/>
        <v>4</v>
      </c>
      <c r="L39" s="12" t="s">
        <v>116</v>
      </c>
      <c r="M39" s="2" t="s">
        <v>5</v>
      </c>
      <c r="N39" s="5" t="s">
        <v>29</v>
      </c>
      <c r="O39" s="3">
        <f t="shared" si="3"/>
        <v>0</v>
      </c>
      <c r="P39" s="3">
        <f>SUM(Q39:BJ39)</f>
        <v>65000</v>
      </c>
      <c r="Q39" s="30"/>
      <c r="R39" s="31"/>
      <c r="S39" s="31"/>
      <c r="T39" s="31"/>
      <c r="U39" s="31"/>
      <c r="V39" s="31"/>
      <c r="W39" s="32"/>
      <c r="X39" s="30"/>
      <c r="Y39" s="31"/>
      <c r="Z39" s="31"/>
      <c r="AA39" s="31"/>
      <c r="AB39" s="31"/>
      <c r="AC39" s="31"/>
      <c r="AD39" s="32"/>
      <c r="AE39" s="30"/>
      <c r="AF39" s="31"/>
      <c r="AG39" s="21"/>
      <c r="AH39" s="21"/>
      <c r="AI39" s="21"/>
      <c r="AJ39" s="21"/>
      <c r="AK39" s="22"/>
      <c r="AL39" s="20"/>
      <c r="AM39" s="21"/>
      <c r="AN39" s="21"/>
      <c r="AO39" s="21"/>
      <c r="AP39" s="21"/>
      <c r="AQ39" s="21"/>
      <c r="AR39" s="22"/>
      <c r="AS39" s="20"/>
      <c r="AT39" s="21"/>
      <c r="AU39" s="21"/>
      <c r="AV39" s="21">
        <v>15000</v>
      </c>
      <c r="AW39" s="21"/>
      <c r="AX39" s="21"/>
      <c r="AY39" s="22"/>
      <c r="AZ39" s="20"/>
      <c r="BA39" s="21"/>
      <c r="BB39" s="21"/>
      <c r="BC39" s="21">
        <v>20000</v>
      </c>
      <c r="BD39" s="21"/>
      <c r="BE39" s="21"/>
      <c r="BF39" s="22"/>
      <c r="BG39" s="20"/>
      <c r="BH39" s="21"/>
      <c r="BI39" s="21"/>
      <c r="BJ39" s="21">
        <v>30000</v>
      </c>
      <c r="BK39" s="23"/>
      <c r="BL39" s="23"/>
      <c r="BM39" s="27"/>
    </row>
    <row r="40" spans="1:65" x14ac:dyDescent="0.25">
      <c r="A40" s="2">
        <v>7692912</v>
      </c>
      <c r="B40" t="s">
        <v>85</v>
      </c>
      <c r="C40" s="2">
        <v>6012513744</v>
      </c>
      <c r="D40" s="5" t="s">
        <v>55</v>
      </c>
      <c r="E40" s="2">
        <v>4</v>
      </c>
      <c r="F40" s="14">
        <v>45481</v>
      </c>
      <c r="G40" s="14">
        <f>F40-K40</f>
        <v>45477</v>
      </c>
      <c r="H40" t="s">
        <v>59</v>
      </c>
      <c r="I40" s="12">
        <v>2</v>
      </c>
      <c r="J40" s="12">
        <v>2</v>
      </c>
      <c r="K40" s="12">
        <f t="shared" si="4"/>
        <v>4</v>
      </c>
      <c r="L40" s="12" t="s">
        <v>116</v>
      </c>
      <c r="M40" s="2" t="s">
        <v>5</v>
      </c>
      <c r="N40" s="5" t="s">
        <v>6</v>
      </c>
      <c r="O40" s="3">
        <f t="shared" si="3"/>
        <v>0</v>
      </c>
      <c r="P40" s="3">
        <f>SUM(Q40:BM40)</f>
        <v>5000</v>
      </c>
      <c r="Q40" s="30"/>
      <c r="R40" s="31"/>
      <c r="S40" s="31"/>
      <c r="T40" s="31"/>
      <c r="U40" s="31"/>
      <c r="V40" s="31"/>
      <c r="W40" s="32"/>
      <c r="X40" s="30"/>
      <c r="Y40" s="31"/>
      <c r="Z40" s="31"/>
      <c r="AA40" s="31"/>
      <c r="AB40" s="31"/>
      <c r="AC40" s="31"/>
      <c r="AD40" s="32"/>
      <c r="AE40" s="30"/>
      <c r="AF40" s="31"/>
      <c r="AG40" s="21"/>
      <c r="AH40" s="21"/>
      <c r="AI40" s="21"/>
      <c r="AJ40" s="21"/>
      <c r="AK40" s="22"/>
      <c r="AL40" s="20"/>
      <c r="AM40" s="21"/>
      <c r="AN40" s="21"/>
      <c r="AO40" s="21"/>
      <c r="AP40" s="21"/>
      <c r="AQ40" s="21"/>
      <c r="AR40" s="22"/>
      <c r="AS40" s="28"/>
      <c r="AT40" s="21"/>
      <c r="AU40" s="21"/>
      <c r="AV40" s="21">
        <v>5000</v>
      </c>
      <c r="AW40" s="21"/>
      <c r="AX40" s="21"/>
      <c r="AY40" s="22"/>
      <c r="AZ40" s="28"/>
      <c r="BA40" s="21"/>
      <c r="BB40" s="21"/>
      <c r="BC40" s="21"/>
      <c r="BD40" s="21"/>
      <c r="BE40" s="21"/>
      <c r="BF40" s="22"/>
      <c r="BG40" s="20"/>
      <c r="BH40" s="21"/>
      <c r="BI40" s="21"/>
      <c r="BJ40" s="21"/>
      <c r="BK40" s="21"/>
      <c r="BL40" s="21"/>
      <c r="BM40" s="22"/>
    </row>
    <row r="41" spans="1:65" x14ac:dyDescent="0.25">
      <c r="A41" s="2">
        <v>7692798</v>
      </c>
      <c r="B41" t="s">
        <v>86</v>
      </c>
      <c r="C41" s="2">
        <v>6012519405</v>
      </c>
      <c r="D41" s="5" t="s">
        <v>87</v>
      </c>
      <c r="E41" s="2">
        <v>9</v>
      </c>
      <c r="F41" s="14">
        <v>45456</v>
      </c>
      <c r="G41" s="14">
        <f>F41-K41</f>
        <v>45453</v>
      </c>
      <c r="H41" t="s">
        <v>57</v>
      </c>
      <c r="I41" s="12">
        <v>1</v>
      </c>
      <c r="J41" s="12">
        <v>2</v>
      </c>
      <c r="K41" s="12">
        <f t="shared" si="4"/>
        <v>3</v>
      </c>
      <c r="L41" s="12" t="s">
        <v>118</v>
      </c>
      <c r="M41" s="2" t="s">
        <v>20</v>
      </c>
      <c r="N41" s="5" t="s">
        <v>6</v>
      </c>
      <c r="O41" s="3">
        <f t="shared" si="3"/>
        <v>125000</v>
      </c>
      <c r="P41" s="3">
        <f>SUM(Q41:BM41)</f>
        <v>125000</v>
      </c>
      <c r="Q41" s="30"/>
      <c r="R41" s="31"/>
      <c r="S41" s="31"/>
      <c r="T41" s="31"/>
      <c r="U41" s="31"/>
      <c r="V41" s="31"/>
      <c r="W41" s="32"/>
      <c r="X41" s="30">
        <v>125000</v>
      </c>
      <c r="Y41" s="31"/>
      <c r="Z41" s="31"/>
      <c r="AA41" s="34"/>
      <c r="AB41" s="31"/>
      <c r="AC41" s="31"/>
      <c r="AD41" s="32"/>
      <c r="AE41" s="30"/>
      <c r="AF41" s="31"/>
      <c r="AG41" s="21"/>
      <c r="AH41" s="21"/>
      <c r="AI41" s="21"/>
      <c r="AJ41" s="21"/>
      <c r="AK41" s="22"/>
      <c r="AL41" s="20"/>
      <c r="AM41" s="21"/>
      <c r="AN41" s="21"/>
      <c r="AO41" s="21"/>
      <c r="AP41" s="21"/>
      <c r="AQ41" s="21"/>
      <c r="AR41" s="22"/>
      <c r="AS41" s="20"/>
      <c r="AT41" s="21"/>
      <c r="AU41" s="21"/>
      <c r="AV41" s="21"/>
      <c r="AW41" s="21"/>
      <c r="AX41" s="21"/>
      <c r="AY41" s="22"/>
      <c r="AZ41" s="20"/>
      <c r="BA41" s="21"/>
      <c r="BB41" s="21"/>
      <c r="BC41" s="21"/>
      <c r="BD41" s="21"/>
      <c r="BE41" s="21"/>
      <c r="BF41" s="22"/>
      <c r="BG41" s="20"/>
      <c r="BH41" s="21"/>
      <c r="BI41" s="21"/>
      <c r="BJ41" s="21"/>
      <c r="BK41" s="21"/>
      <c r="BL41" s="21"/>
      <c r="BM41" s="22"/>
    </row>
    <row r="42" spans="1:65" x14ac:dyDescent="0.25">
      <c r="A42" s="2">
        <v>7622071</v>
      </c>
      <c r="B42" t="s">
        <v>77</v>
      </c>
      <c r="C42" s="2">
        <v>6012518378</v>
      </c>
      <c r="D42" s="5" t="s">
        <v>88</v>
      </c>
      <c r="E42" s="2">
        <v>12</v>
      </c>
      <c r="F42" s="14">
        <v>45475</v>
      </c>
      <c r="G42" s="14">
        <f>F42-K42</f>
        <v>45471</v>
      </c>
      <c r="H42" t="s">
        <v>59</v>
      </c>
      <c r="I42" s="12">
        <v>2</v>
      </c>
      <c r="J42" s="12">
        <v>2</v>
      </c>
      <c r="K42" s="12">
        <f t="shared" si="4"/>
        <v>4</v>
      </c>
      <c r="L42" s="12" t="s">
        <v>116</v>
      </c>
      <c r="M42" s="2" t="s">
        <v>5</v>
      </c>
      <c r="N42" s="5" t="s">
        <v>6</v>
      </c>
      <c r="O42" s="3">
        <f t="shared" si="3"/>
        <v>0</v>
      </c>
      <c r="P42" s="3">
        <f>SUM(Q42:BM42)</f>
        <v>180000</v>
      </c>
      <c r="Q42" s="30"/>
      <c r="R42" s="31"/>
      <c r="S42" s="31"/>
      <c r="T42" s="31"/>
      <c r="U42" s="31"/>
      <c r="V42" s="31"/>
      <c r="W42" s="32"/>
      <c r="X42" s="30"/>
      <c r="Y42" s="31"/>
      <c r="Z42" s="31"/>
      <c r="AA42" s="31"/>
      <c r="AB42" s="31"/>
      <c r="AC42" s="31"/>
      <c r="AD42" s="32"/>
      <c r="AE42" s="30"/>
      <c r="AF42" s="31"/>
      <c r="AG42" s="21"/>
      <c r="AH42" s="21"/>
      <c r="AI42" s="21"/>
      <c r="AJ42" s="21"/>
      <c r="AK42" s="22"/>
      <c r="AL42" s="20"/>
      <c r="AM42" s="21"/>
      <c r="AN42" s="21"/>
      <c r="AO42" s="21"/>
      <c r="AP42" s="21">
        <v>60000</v>
      </c>
      <c r="AQ42" s="21"/>
      <c r="AR42" s="22"/>
      <c r="AS42" s="20"/>
      <c r="AT42" s="21">
        <v>60000</v>
      </c>
      <c r="AU42" s="21"/>
      <c r="AV42" s="21"/>
      <c r="AW42" s="21"/>
      <c r="AX42" s="21">
        <v>60000</v>
      </c>
      <c r="AY42" s="27"/>
      <c r="AZ42" s="28"/>
      <c r="BA42" s="23"/>
      <c r="BB42" s="23"/>
      <c r="BC42" s="21"/>
      <c r="BD42" s="21"/>
      <c r="BE42" s="21"/>
      <c r="BF42" s="22"/>
      <c r="BG42" s="20"/>
      <c r="BH42" s="21"/>
      <c r="BI42" s="21"/>
      <c r="BJ42" s="21"/>
      <c r="BK42" s="21"/>
      <c r="BL42" s="21"/>
      <c r="BM42" s="22"/>
    </row>
    <row r="43" spans="1:65" x14ac:dyDescent="0.25">
      <c r="A43" s="2">
        <v>7600128</v>
      </c>
      <c r="B43" t="s">
        <v>89</v>
      </c>
      <c r="C43" s="2">
        <v>6012519069</v>
      </c>
      <c r="D43" s="5" t="s">
        <v>25</v>
      </c>
      <c r="E43" s="2">
        <v>12</v>
      </c>
      <c r="F43" s="14">
        <v>45463</v>
      </c>
      <c r="G43" s="14">
        <f>F43-K43</f>
        <v>45459</v>
      </c>
      <c r="H43" t="s">
        <v>58</v>
      </c>
      <c r="I43" s="12">
        <v>2</v>
      </c>
      <c r="J43" s="12">
        <v>2</v>
      </c>
      <c r="K43" s="12">
        <f t="shared" si="4"/>
        <v>4</v>
      </c>
      <c r="L43" s="12" t="s">
        <v>116</v>
      </c>
      <c r="M43" s="2" t="s">
        <v>5</v>
      </c>
      <c r="N43" s="5" t="s">
        <v>6</v>
      </c>
      <c r="O43" s="3">
        <f t="shared" si="3"/>
        <v>150000</v>
      </c>
      <c r="P43" s="3">
        <f>SUM(Q43:BM43)</f>
        <v>150000</v>
      </c>
      <c r="Q43" s="30"/>
      <c r="R43" s="31"/>
      <c r="S43" s="31"/>
      <c r="T43" s="31"/>
      <c r="U43" s="31"/>
      <c r="V43" s="31"/>
      <c r="W43" s="32"/>
      <c r="X43" s="30"/>
      <c r="Y43" s="31"/>
      <c r="Z43" s="31"/>
      <c r="AA43" s="31"/>
      <c r="AB43" s="31"/>
      <c r="AC43" s="31"/>
      <c r="AD43" s="32">
        <v>150000</v>
      </c>
      <c r="AE43" s="30"/>
      <c r="AF43" s="31"/>
      <c r="AG43" s="21"/>
      <c r="AH43" s="23"/>
      <c r="AI43" s="21"/>
      <c r="AJ43" s="21"/>
      <c r="AK43" s="22"/>
      <c r="AL43" s="20"/>
      <c r="AM43" s="21"/>
      <c r="AN43" s="21"/>
      <c r="AO43" s="21"/>
      <c r="AP43" s="21"/>
      <c r="AQ43" s="21"/>
      <c r="AR43" s="22"/>
      <c r="AS43" s="20"/>
      <c r="AT43" s="21"/>
      <c r="AU43" s="21"/>
      <c r="AV43" s="21"/>
      <c r="AW43" s="21"/>
      <c r="AX43" s="21"/>
      <c r="AY43" s="22"/>
      <c r="AZ43" s="20"/>
      <c r="BA43" s="21"/>
      <c r="BB43" s="21"/>
      <c r="BC43" s="21"/>
      <c r="BD43" s="21"/>
      <c r="BE43" s="21"/>
      <c r="BF43" s="22"/>
      <c r="BG43" s="20"/>
      <c r="BH43" s="21"/>
      <c r="BI43" s="21"/>
      <c r="BJ43" s="21"/>
      <c r="BK43" s="21"/>
      <c r="BL43" s="21"/>
      <c r="BM43" s="22"/>
    </row>
    <row r="44" spans="1:65" x14ac:dyDescent="0.25">
      <c r="A44" s="2">
        <v>7600128</v>
      </c>
      <c r="B44" t="s">
        <v>89</v>
      </c>
      <c r="C44" s="2">
        <v>6012519074</v>
      </c>
      <c r="D44" s="5" t="s">
        <v>25</v>
      </c>
      <c r="E44" s="2">
        <v>12</v>
      </c>
      <c r="F44" s="14">
        <v>45469</v>
      </c>
      <c r="G44" s="14">
        <f>F44-K44</f>
        <v>45465</v>
      </c>
      <c r="H44" t="s">
        <v>58</v>
      </c>
      <c r="I44" s="12">
        <v>2</v>
      </c>
      <c r="J44" s="12">
        <v>2</v>
      </c>
      <c r="K44" s="12">
        <f t="shared" si="4"/>
        <v>4</v>
      </c>
      <c r="L44" s="12" t="s">
        <v>116</v>
      </c>
      <c r="M44" s="2" t="s">
        <v>5</v>
      </c>
      <c r="N44" s="5" t="s">
        <v>6</v>
      </c>
      <c r="O44" s="3">
        <f t="shared" si="3"/>
        <v>0</v>
      </c>
      <c r="P44" s="3">
        <f>SUM(Q44:BM44)</f>
        <v>150000</v>
      </c>
      <c r="Q44" s="30"/>
      <c r="R44" s="31"/>
      <c r="S44" s="31"/>
      <c r="T44" s="31"/>
      <c r="U44" s="31"/>
      <c r="V44" s="31"/>
      <c r="W44" s="32"/>
      <c r="X44" s="30"/>
      <c r="Y44" s="31"/>
      <c r="Z44" s="31"/>
      <c r="AA44" s="31"/>
      <c r="AB44" s="31"/>
      <c r="AC44" s="31"/>
      <c r="AD44" s="32"/>
      <c r="AE44" s="33"/>
      <c r="AF44" s="31"/>
      <c r="AG44" s="21"/>
      <c r="AH44" s="21"/>
      <c r="AI44" s="21"/>
      <c r="AJ44" s="21">
        <v>150000</v>
      </c>
      <c r="AK44" s="22"/>
      <c r="AL44" s="20"/>
      <c r="AM44" s="21"/>
      <c r="AN44" s="23"/>
      <c r="AO44" s="21"/>
      <c r="AP44" s="21"/>
      <c r="AQ44" s="21"/>
      <c r="AR44" s="22"/>
      <c r="AS44" s="20"/>
      <c r="AT44" s="21"/>
      <c r="AU44" s="21"/>
      <c r="AV44" s="21"/>
      <c r="AW44" s="21"/>
      <c r="AX44" s="21"/>
      <c r="AY44" s="22"/>
      <c r="AZ44" s="20"/>
      <c r="BA44" s="21"/>
      <c r="BB44" s="21"/>
      <c r="BC44" s="21"/>
      <c r="BD44" s="21"/>
      <c r="BE44" s="21"/>
      <c r="BF44" s="22"/>
      <c r="BG44" s="20"/>
      <c r="BH44" s="21"/>
      <c r="BI44" s="21"/>
      <c r="BJ44" s="21"/>
      <c r="BK44" s="21"/>
      <c r="BL44" s="21"/>
      <c r="BM44" s="22"/>
    </row>
    <row r="45" spans="1:65" x14ac:dyDescent="0.25">
      <c r="A45" s="2">
        <v>7692794</v>
      </c>
      <c r="B45" t="s">
        <v>92</v>
      </c>
      <c r="C45" s="2">
        <v>6012523034</v>
      </c>
      <c r="D45" s="5" t="s">
        <v>48</v>
      </c>
      <c r="E45" s="2">
        <v>9</v>
      </c>
      <c r="F45" s="14">
        <v>45463</v>
      </c>
      <c r="G45" s="14">
        <f>F45-K45</f>
        <v>45460</v>
      </c>
      <c r="H45" t="s">
        <v>57</v>
      </c>
      <c r="I45" s="12">
        <v>1</v>
      </c>
      <c r="J45" s="12">
        <v>2</v>
      </c>
      <c r="K45" s="12">
        <f t="shared" si="4"/>
        <v>3</v>
      </c>
      <c r="L45" s="12" t="s">
        <v>118</v>
      </c>
      <c r="M45" s="2" t="s">
        <v>5</v>
      </c>
      <c r="N45" s="5" t="s">
        <v>6</v>
      </c>
      <c r="O45" s="3">
        <f t="shared" si="3"/>
        <v>51250</v>
      </c>
      <c r="P45" s="3">
        <f>SUM(Q45:BM45)</f>
        <v>51250</v>
      </c>
      <c r="Q45" s="30"/>
      <c r="R45" s="31"/>
      <c r="S45" s="31"/>
      <c r="T45" s="31"/>
      <c r="U45" s="31"/>
      <c r="V45" s="31"/>
      <c r="W45" s="32"/>
      <c r="X45" s="30"/>
      <c r="Y45" s="31"/>
      <c r="Z45" s="31"/>
      <c r="AA45" s="31"/>
      <c r="AB45" s="31"/>
      <c r="AC45" s="31"/>
      <c r="AD45" s="32"/>
      <c r="AE45" s="30">
        <v>51250</v>
      </c>
      <c r="AF45" s="31"/>
      <c r="AG45" s="21"/>
      <c r="AH45" s="23"/>
      <c r="AI45" s="21"/>
      <c r="AJ45" s="21"/>
      <c r="AK45" s="22"/>
      <c r="AL45" s="20"/>
      <c r="AM45" s="21"/>
      <c r="AN45" s="21"/>
      <c r="AO45" s="21"/>
      <c r="AP45" s="21"/>
      <c r="AQ45" s="21"/>
      <c r="AR45" s="22"/>
      <c r="AS45" s="20"/>
      <c r="AT45" s="21"/>
      <c r="AU45" s="21"/>
      <c r="AV45" s="21"/>
      <c r="AW45" s="21"/>
      <c r="AX45" s="21"/>
      <c r="AY45" s="22"/>
      <c r="AZ45" s="20"/>
      <c r="BA45" s="21"/>
      <c r="BB45" s="21"/>
      <c r="BC45" s="21"/>
      <c r="BD45" s="21"/>
      <c r="BE45" s="21"/>
      <c r="BF45" s="22"/>
      <c r="BG45" s="20"/>
      <c r="BH45" s="21"/>
      <c r="BI45" s="21"/>
      <c r="BJ45" s="21"/>
      <c r="BK45" s="21"/>
      <c r="BL45" s="21"/>
      <c r="BM45" s="22"/>
    </row>
    <row r="46" spans="1:65" x14ac:dyDescent="0.25">
      <c r="A46" s="2">
        <v>7692782</v>
      </c>
      <c r="B46" t="s">
        <v>62</v>
      </c>
      <c r="C46" s="2">
        <v>6012523665</v>
      </c>
      <c r="D46" s="5" t="s">
        <v>31</v>
      </c>
      <c r="E46" s="2">
        <v>9</v>
      </c>
      <c r="F46" s="14">
        <v>45457</v>
      </c>
      <c r="G46" s="14">
        <f>F46-K46</f>
        <v>45453</v>
      </c>
      <c r="H46" t="s">
        <v>59</v>
      </c>
      <c r="I46" s="12">
        <v>2</v>
      </c>
      <c r="J46" s="12">
        <v>2</v>
      </c>
      <c r="K46" s="12">
        <f t="shared" si="4"/>
        <v>4</v>
      </c>
      <c r="L46" s="12" t="s">
        <v>116</v>
      </c>
      <c r="M46" s="2" t="s">
        <v>5</v>
      </c>
      <c r="N46" s="5" t="s">
        <v>6</v>
      </c>
      <c r="O46" s="3">
        <f t="shared" si="3"/>
        <v>6250</v>
      </c>
      <c r="P46" s="3">
        <f>SUM(Q46:BM46)</f>
        <v>6250</v>
      </c>
      <c r="Q46" s="30"/>
      <c r="R46" s="31"/>
      <c r="S46" s="31"/>
      <c r="T46" s="31"/>
      <c r="U46" s="31"/>
      <c r="V46" s="31"/>
      <c r="W46" s="32"/>
      <c r="X46" s="30">
        <v>6250</v>
      </c>
      <c r="Y46" s="31"/>
      <c r="Z46" s="31"/>
      <c r="AA46" s="31"/>
      <c r="AB46" s="34"/>
      <c r="AC46" s="31"/>
      <c r="AD46" s="32"/>
      <c r="AE46" s="30"/>
      <c r="AF46" s="31"/>
      <c r="AG46" s="21"/>
      <c r="AH46" s="21"/>
      <c r="AI46" s="21"/>
      <c r="AJ46" s="21"/>
      <c r="AK46" s="22"/>
      <c r="AL46" s="20"/>
      <c r="AM46" s="21"/>
      <c r="AN46" s="21"/>
      <c r="AO46" s="21"/>
      <c r="AP46" s="21"/>
      <c r="AQ46" s="21"/>
      <c r="AR46" s="22"/>
      <c r="AS46" s="20"/>
      <c r="AT46" s="21"/>
      <c r="AU46" s="21"/>
      <c r="AV46" s="21"/>
      <c r="AW46" s="21"/>
      <c r="AX46" s="21"/>
      <c r="AY46" s="22"/>
      <c r="AZ46" s="20"/>
      <c r="BA46" s="21"/>
      <c r="BB46" s="21"/>
      <c r="BC46" s="21"/>
      <c r="BD46" s="21"/>
      <c r="BE46" s="21"/>
      <c r="BF46" s="22"/>
      <c r="BG46" s="20"/>
      <c r="BH46" s="21"/>
      <c r="BI46" s="21"/>
      <c r="BJ46" s="21"/>
      <c r="BK46" s="21"/>
      <c r="BL46" s="21"/>
      <c r="BM46" s="22"/>
    </row>
    <row r="47" spans="1:65" x14ac:dyDescent="0.25">
      <c r="A47" s="2">
        <v>7692598</v>
      </c>
      <c r="B47" t="s">
        <v>93</v>
      </c>
      <c r="C47" s="2">
        <v>6012519599</v>
      </c>
      <c r="D47" s="5" t="s">
        <v>17</v>
      </c>
      <c r="E47" s="2">
        <v>12</v>
      </c>
      <c r="F47" s="14">
        <v>45454</v>
      </c>
      <c r="G47" s="14">
        <f>F47-K47</f>
        <v>45449</v>
      </c>
      <c r="H47" t="s">
        <v>58</v>
      </c>
      <c r="I47" s="12">
        <v>3</v>
      </c>
      <c r="J47" s="12">
        <v>2</v>
      </c>
      <c r="K47" s="12">
        <f t="shared" si="4"/>
        <v>5</v>
      </c>
      <c r="L47" s="12" t="s">
        <v>116</v>
      </c>
      <c r="M47" s="2" t="s">
        <v>20</v>
      </c>
      <c r="N47" s="5" t="s">
        <v>6</v>
      </c>
      <c r="O47" s="3">
        <f t="shared" si="3"/>
        <v>22500</v>
      </c>
      <c r="P47" s="3">
        <f>SUM(Q47:BM47)</f>
        <v>22500</v>
      </c>
      <c r="Q47" s="30"/>
      <c r="R47" s="31"/>
      <c r="S47" s="31"/>
      <c r="T47" s="31">
        <v>22500</v>
      </c>
      <c r="U47" s="31"/>
      <c r="V47" s="31"/>
      <c r="W47" s="32"/>
      <c r="X47" s="30"/>
      <c r="Y47" s="34"/>
      <c r="Z47" s="31"/>
      <c r="AA47" s="31"/>
      <c r="AB47" s="31"/>
      <c r="AC47" s="31"/>
      <c r="AD47" s="32"/>
      <c r="AE47" s="30"/>
      <c r="AF47" s="31"/>
      <c r="AG47" s="21"/>
      <c r="AH47" s="21"/>
      <c r="AI47" s="21"/>
      <c r="AJ47" s="21"/>
      <c r="AK47" s="22"/>
      <c r="AL47" s="20"/>
      <c r="AM47" s="21"/>
      <c r="AN47" s="21"/>
      <c r="AO47" s="21"/>
      <c r="AP47" s="21"/>
      <c r="AQ47" s="21"/>
      <c r="AR47" s="22"/>
      <c r="AS47" s="20"/>
      <c r="AT47" s="21"/>
      <c r="AU47" s="21"/>
      <c r="AV47" s="21"/>
      <c r="AW47" s="21"/>
      <c r="AX47" s="21"/>
      <c r="AY47" s="22"/>
      <c r="AZ47" s="20"/>
      <c r="BA47" s="21"/>
      <c r="BB47" s="21"/>
      <c r="BC47" s="21"/>
      <c r="BD47" s="21"/>
      <c r="BE47" s="21"/>
      <c r="BF47" s="22"/>
      <c r="BG47" s="20"/>
      <c r="BH47" s="21"/>
      <c r="BI47" s="21"/>
      <c r="BJ47" s="21"/>
      <c r="BK47" s="21"/>
      <c r="BL47" s="21"/>
      <c r="BM47" s="22"/>
    </row>
    <row r="48" spans="1:65" x14ac:dyDescent="0.25">
      <c r="A48" s="2">
        <v>7692598</v>
      </c>
      <c r="B48" t="s">
        <v>94</v>
      </c>
      <c r="C48" s="2">
        <v>6012519600</v>
      </c>
      <c r="D48" s="5" t="s">
        <v>17</v>
      </c>
      <c r="E48" s="2">
        <v>12</v>
      </c>
      <c r="F48" s="14">
        <v>45454</v>
      </c>
      <c r="G48" s="14">
        <f>F48-K48</f>
        <v>45449</v>
      </c>
      <c r="H48" t="s">
        <v>58</v>
      </c>
      <c r="I48" s="12">
        <v>3</v>
      </c>
      <c r="J48" s="12">
        <v>2</v>
      </c>
      <c r="K48" s="12">
        <f t="shared" si="4"/>
        <v>5</v>
      </c>
      <c r="L48" s="12" t="s">
        <v>116</v>
      </c>
      <c r="M48" s="2" t="s">
        <v>20</v>
      </c>
      <c r="N48" s="5" t="s">
        <v>6</v>
      </c>
      <c r="O48" s="3">
        <f t="shared" si="3"/>
        <v>76250</v>
      </c>
      <c r="P48" s="3">
        <f>SUM(Q48:BM48)</f>
        <v>76250</v>
      </c>
      <c r="Q48" s="30"/>
      <c r="R48" s="31"/>
      <c r="S48" s="31"/>
      <c r="T48" s="31">
        <v>50000</v>
      </c>
      <c r="U48" s="31"/>
      <c r="V48" s="31"/>
      <c r="W48" s="32">
        <v>26250</v>
      </c>
      <c r="X48" s="30"/>
      <c r="Y48" s="34"/>
      <c r="Z48" s="34"/>
      <c r="AA48" s="34"/>
      <c r="AB48" s="34"/>
      <c r="AC48" s="31"/>
      <c r="AD48" s="32"/>
      <c r="AE48" s="30"/>
      <c r="AF48" s="31"/>
      <c r="AG48" s="21"/>
      <c r="AH48" s="21"/>
      <c r="AI48" s="21"/>
      <c r="AJ48" s="21"/>
      <c r="AK48" s="22"/>
      <c r="AL48" s="20"/>
      <c r="AM48" s="21"/>
      <c r="AN48" s="21"/>
      <c r="AO48" s="21"/>
      <c r="AP48" s="21"/>
      <c r="AQ48" s="21"/>
      <c r="AR48" s="22"/>
      <c r="AS48" s="20"/>
      <c r="AT48" s="21"/>
      <c r="AU48" s="21"/>
      <c r="AV48" s="21"/>
      <c r="AW48" s="21"/>
      <c r="AX48" s="21"/>
      <c r="AY48" s="22"/>
      <c r="AZ48" s="20"/>
      <c r="BA48" s="21"/>
      <c r="BB48" s="21"/>
      <c r="BC48" s="21"/>
      <c r="BD48" s="21"/>
      <c r="BE48" s="21"/>
      <c r="BF48" s="22"/>
      <c r="BG48" s="20"/>
      <c r="BH48" s="21"/>
      <c r="BI48" s="21"/>
      <c r="BJ48" s="21"/>
      <c r="BK48" s="21"/>
      <c r="BL48" s="21"/>
      <c r="BM48" s="22"/>
    </row>
    <row r="49" spans="1:65" x14ac:dyDescent="0.25">
      <c r="A49" s="2">
        <v>7692561</v>
      </c>
      <c r="B49" t="s">
        <v>95</v>
      </c>
      <c r="C49" s="2">
        <v>6012525541</v>
      </c>
      <c r="D49" s="5" t="s">
        <v>67</v>
      </c>
      <c r="E49" s="2">
        <v>4</v>
      </c>
      <c r="F49" s="14">
        <v>45454</v>
      </c>
      <c r="G49" s="14">
        <f>F49-K49</f>
        <v>45446</v>
      </c>
      <c r="H49" t="s">
        <v>64</v>
      </c>
      <c r="I49" s="12">
        <v>6</v>
      </c>
      <c r="J49" s="12">
        <v>2</v>
      </c>
      <c r="K49" s="12">
        <f t="shared" si="4"/>
        <v>8</v>
      </c>
      <c r="L49" s="12" t="s">
        <v>117</v>
      </c>
      <c r="M49" s="2" t="s">
        <v>20</v>
      </c>
      <c r="N49" s="5" t="s">
        <v>6</v>
      </c>
      <c r="O49" s="3">
        <f t="shared" si="3"/>
        <v>11250</v>
      </c>
      <c r="P49" s="3">
        <f>SUM(Q49:BM49)</f>
        <v>11250</v>
      </c>
      <c r="Q49" s="30">
        <v>11250</v>
      </c>
      <c r="R49" s="31"/>
      <c r="S49" s="31"/>
      <c r="T49" s="31"/>
      <c r="U49" s="31"/>
      <c r="V49" s="31"/>
      <c r="W49" s="32"/>
      <c r="X49" s="30"/>
      <c r="Y49" s="31"/>
      <c r="Z49" s="31"/>
      <c r="AA49" s="31"/>
      <c r="AB49" s="31"/>
      <c r="AC49" s="31"/>
      <c r="AD49" s="32"/>
      <c r="AE49" s="30"/>
      <c r="AF49" s="31"/>
      <c r="AG49" s="21"/>
      <c r="AH49" s="21"/>
      <c r="AI49" s="21"/>
      <c r="AJ49" s="21"/>
      <c r="AK49" s="22"/>
      <c r="AL49" s="20"/>
      <c r="AM49" s="21"/>
      <c r="AN49" s="21"/>
      <c r="AO49" s="21"/>
      <c r="AP49" s="21"/>
      <c r="AQ49" s="21"/>
      <c r="AR49" s="22"/>
      <c r="AS49" s="20"/>
      <c r="AT49" s="21"/>
      <c r="AU49" s="21"/>
      <c r="AV49" s="21"/>
      <c r="AW49" s="21"/>
      <c r="AX49" s="21"/>
      <c r="AY49" s="22"/>
      <c r="AZ49" s="20"/>
      <c r="BA49" s="21"/>
      <c r="BB49" s="21"/>
      <c r="BC49" s="21"/>
      <c r="BD49" s="21"/>
      <c r="BE49" s="21"/>
      <c r="BF49" s="22"/>
      <c r="BG49" s="20"/>
      <c r="BH49" s="21"/>
      <c r="BI49" s="21"/>
      <c r="BJ49" s="21"/>
      <c r="BK49" s="21"/>
      <c r="BL49" s="21"/>
      <c r="BM49" s="22"/>
    </row>
    <row r="50" spans="1:65" x14ac:dyDescent="0.25">
      <c r="A50" s="2">
        <v>7692563</v>
      </c>
      <c r="B50" t="s">
        <v>96</v>
      </c>
      <c r="C50" s="2">
        <v>6012525944</v>
      </c>
      <c r="D50" s="5" t="s">
        <v>67</v>
      </c>
      <c r="E50" s="2">
        <v>6</v>
      </c>
      <c r="F50" s="14">
        <v>45454</v>
      </c>
      <c r="G50" s="14">
        <f>F50-K50</f>
        <v>45446</v>
      </c>
      <c r="H50" t="s">
        <v>64</v>
      </c>
      <c r="I50" s="12">
        <v>6</v>
      </c>
      <c r="J50" s="12">
        <v>2</v>
      </c>
      <c r="K50" s="12">
        <f t="shared" si="4"/>
        <v>8</v>
      </c>
      <c r="L50" s="12" t="s">
        <v>117</v>
      </c>
      <c r="M50" s="2" t="s">
        <v>20</v>
      </c>
      <c r="N50" s="5" t="s">
        <v>6</v>
      </c>
      <c r="O50" s="3">
        <f t="shared" si="3"/>
        <v>33750</v>
      </c>
      <c r="P50" s="3">
        <f>SUM(Q50:BM50)</f>
        <v>33750</v>
      </c>
      <c r="Q50" s="30">
        <v>33750</v>
      </c>
      <c r="R50" s="31"/>
      <c r="S50" s="31"/>
      <c r="T50" s="31"/>
      <c r="U50" s="31"/>
      <c r="V50" s="31"/>
      <c r="W50" s="32"/>
      <c r="X50" s="30"/>
      <c r="Y50" s="31"/>
      <c r="Z50" s="31"/>
      <c r="AA50" s="31"/>
      <c r="AB50" s="31"/>
      <c r="AC50" s="31"/>
      <c r="AD50" s="32"/>
      <c r="AE50" s="30"/>
      <c r="AF50" s="31"/>
      <c r="AG50" s="21"/>
      <c r="AH50" s="21"/>
      <c r="AI50" s="21"/>
      <c r="AJ50" s="21"/>
      <c r="AK50" s="22"/>
      <c r="AL50" s="20"/>
      <c r="AM50" s="21"/>
      <c r="AN50" s="21"/>
      <c r="AO50" s="21"/>
      <c r="AP50" s="21"/>
      <c r="AQ50" s="21"/>
      <c r="AR50" s="22"/>
      <c r="AS50" s="20"/>
      <c r="AT50" s="21"/>
      <c r="AU50" s="21"/>
      <c r="AV50" s="21"/>
      <c r="AW50" s="21"/>
      <c r="AX50" s="21"/>
      <c r="AY50" s="22"/>
      <c r="AZ50" s="20"/>
      <c r="BA50" s="21"/>
      <c r="BB50" s="21"/>
      <c r="BC50" s="21"/>
      <c r="BD50" s="21"/>
      <c r="BE50" s="21"/>
      <c r="BF50" s="22"/>
      <c r="BG50" s="20"/>
      <c r="BH50" s="21"/>
      <c r="BI50" s="21"/>
      <c r="BJ50" s="21"/>
      <c r="BK50" s="21"/>
      <c r="BL50" s="21"/>
      <c r="BM50" s="22"/>
    </row>
    <row r="51" spans="1:65" x14ac:dyDescent="0.25">
      <c r="A51" s="2">
        <v>7692782</v>
      </c>
      <c r="B51" t="s">
        <v>103</v>
      </c>
      <c r="C51" s="2">
        <v>6012531204</v>
      </c>
      <c r="D51" s="5" t="s">
        <v>31</v>
      </c>
      <c r="E51" s="2">
        <v>9</v>
      </c>
      <c r="F51" s="14">
        <v>45461</v>
      </c>
      <c r="G51" s="14">
        <f>F51-K51</f>
        <v>45457</v>
      </c>
      <c r="H51" t="s">
        <v>59</v>
      </c>
      <c r="I51" s="12">
        <v>2</v>
      </c>
      <c r="J51" s="12">
        <v>2</v>
      </c>
      <c r="K51" s="12">
        <f t="shared" si="4"/>
        <v>4</v>
      </c>
      <c r="L51" s="12" t="s">
        <v>116</v>
      </c>
      <c r="M51" s="2" t="s">
        <v>5</v>
      </c>
      <c r="N51" s="5" t="s">
        <v>6</v>
      </c>
      <c r="O51" s="3">
        <f t="shared" si="3"/>
        <v>26250</v>
      </c>
      <c r="P51" s="3">
        <f>SUM(Q51:BM51)</f>
        <v>136250</v>
      </c>
      <c r="Q51" s="30"/>
      <c r="R51" s="31"/>
      <c r="S51" s="31"/>
      <c r="T51" s="31"/>
      <c r="U51" s="31"/>
      <c r="V51" s="31"/>
      <c r="W51" s="32"/>
      <c r="X51" s="30"/>
      <c r="Y51" s="31"/>
      <c r="Z51" s="31"/>
      <c r="AA51" s="31"/>
      <c r="AB51" s="31">
        <v>26250</v>
      </c>
      <c r="AC51" s="31"/>
      <c r="AD51" s="32"/>
      <c r="AE51" s="30"/>
      <c r="AF51" s="31"/>
      <c r="AG51" s="21"/>
      <c r="AH51" s="21"/>
      <c r="AI51" s="21"/>
      <c r="AJ51" s="21"/>
      <c r="AK51" s="22"/>
      <c r="AL51" s="20"/>
      <c r="AM51" s="21">
        <v>50000</v>
      </c>
      <c r="AN51" s="21"/>
      <c r="AO51" s="21"/>
      <c r="AP51" s="21"/>
      <c r="AQ51" s="21"/>
      <c r="AR51" s="22"/>
      <c r="AS51" s="20"/>
      <c r="AT51" s="21"/>
      <c r="AU51" s="21"/>
      <c r="AV51" s="21"/>
      <c r="AW51" s="21"/>
      <c r="AX51" s="21"/>
      <c r="AY51" s="22"/>
      <c r="AZ51" s="20"/>
      <c r="BA51" s="21"/>
      <c r="BB51" s="21"/>
      <c r="BC51" s="21"/>
      <c r="BD51" s="21">
        <v>60000</v>
      </c>
      <c r="BE51" s="23"/>
      <c r="BF51" s="27"/>
      <c r="BG51" s="28"/>
      <c r="BH51" s="23"/>
      <c r="BI51" s="21"/>
      <c r="BJ51" s="21"/>
      <c r="BK51" s="21"/>
      <c r="BL51" s="21"/>
      <c r="BM51" s="22"/>
    </row>
    <row r="52" spans="1:65" x14ac:dyDescent="0.25">
      <c r="A52" s="2">
        <v>7692782</v>
      </c>
      <c r="B52" t="s">
        <v>103</v>
      </c>
      <c r="C52" s="2">
        <v>6012531936</v>
      </c>
      <c r="D52" s="5" t="s">
        <v>31</v>
      </c>
      <c r="E52" s="2">
        <v>9</v>
      </c>
      <c r="F52" s="14">
        <v>45479</v>
      </c>
      <c r="G52" s="14">
        <f>F52-K52</f>
        <v>45475</v>
      </c>
      <c r="H52" t="s">
        <v>59</v>
      </c>
      <c r="I52" s="12">
        <v>2</v>
      </c>
      <c r="J52" s="12">
        <v>2</v>
      </c>
      <c r="K52" s="12">
        <f t="shared" si="4"/>
        <v>4</v>
      </c>
      <c r="L52" s="12" t="s">
        <v>116</v>
      </c>
      <c r="M52" s="2" t="s">
        <v>5</v>
      </c>
      <c r="N52" s="5" t="s">
        <v>6</v>
      </c>
      <c r="O52" s="3">
        <f t="shared" si="3"/>
        <v>0</v>
      </c>
      <c r="P52" s="3">
        <f>SUM(Q52:BM52)</f>
        <v>110000</v>
      </c>
      <c r="Q52" s="30"/>
      <c r="R52" s="31"/>
      <c r="S52" s="31"/>
      <c r="T52" s="31"/>
      <c r="U52" s="31"/>
      <c r="V52" s="31"/>
      <c r="W52" s="32"/>
      <c r="X52" s="30"/>
      <c r="Y52" s="31"/>
      <c r="Z52" s="31"/>
      <c r="AA52" s="31"/>
      <c r="AB52" s="31"/>
      <c r="AC52" s="31"/>
      <c r="AD52" s="32"/>
      <c r="AE52" s="30"/>
      <c r="AF52" s="31"/>
      <c r="AG52" s="21"/>
      <c r="AH52" s="21"/>
      <c r="AI52" s="21"/>
      <c r="AJ52" s="21"/>
      <c r="AK52" s="22"/>
      <c r="AL52" s="20"/>
      <c r="AM52" s="21"/>
      <c r="AN52" s="21"/>
      <c r="AO52" s="21"/>
      <c r="AP52" s="21"/>
      <c r="AQ52" s="21"/>
      <c r="AR52" s="22"/>
      <c r="AS52" s="20"/>
      <c r="AT52" s="21">
        <v>50000</v>
      </c>
      <c r="AU52" s="21"/>
      <c r="AV52" s="21"/>
      <c r="AW52" s="21"/>
      <c r="AX52" s="21"/>
      <c r="AY52" s="22"/>
      <c r="AZ52" s="20"/>
      <c r="BA52" s="21">
        <v>60000</v>
      </c>
      <c r="BB52" s="23"/>
      <c r="BC52" s="23"/>
      <c r="BD52" s="23"/>
      <c r="BE52" s="23"/>
      <c r="BF52" s="22"/>
      <c r="BG52" s="20"/>
      <c r="BH52" s="21"/>
      <c r="BI52" s="21"/>
      <c r="BJ52" s="21"/>
      <c r="BK52" s="21"/>
      <c r="BL52" s="21"/>
      <c r="BM52" s="22"/>
    </row>
    <row r="53" spans="1:65" x14ac:dyDescent="0.25">
      <c r="A53" s="2">
        <v>7692924</v>
      </c>
      <c r="B53" t="s">
        <v>83</v>
      </c>
      <c r="C53" s="2">
        <v>6012529023</v>
      </c>
      <c r="D53" s="5" t="s">
        <v>84</v>
      </c>
      <c r="E53" s="2">
        <v>12</v>
      </c>
      <c r="F53" s="14">
        <v>45450</v>
      </c>
      <c r="G53" s="14">
        <f>F53-K53</f>
        <v>45446</v>
      </c>
      <c r="H53" t="s">
        <v>59</v>
      </c>
      <c r="I53" s="12">
        <v>2</v>
      </c>
      <c r="J53" s="12">
        <v>2</v>
      </c>
      <c r="K53" s="12">
        <f t="shared" si="4"/>
        <v>4</v>
      </c>
      <c r="L53" s="12" t="s">
        <v>116</v>
      </c>
      <c r="M53" s="2" t="s">
        <v>20</v>
      </c>
      <c r="N53" s="5" t="s">
        <v>6</v>
      </c>
      <c r="O53" s="3">
        <f t="shared" si="3"/>
        <v>115000</v>
      </c>
      <c r="P53" s="3">
        <f>SUM(Q53:BM53)</f>
        <v>115000</v>
      </c>
      <c r="Q53" s="30">
        <v>115000</v>
      </c>
      <c r="R53" s="31"/>
      <c r="S53" s="34"/>
      <c r="T53" s="31"/>
      <c r="U53" s="31"/>
      <c r="V53" s="31"/>
      <c r="W53" s="32"/>
      <c r="X53" s="30"/>
      <c r="Y53" s="31"/>
      <c r="Z53" s="31"/>
      <c r="AA53" s="31"/>
      <c r="AB53" s="31"/>
      <c r="AC53" s="31"/>
      <c r="AD53" s="32"/>
      <c r="AE53" s="30"/>
      <c r="AF53" s="31"/>
      <c r="AG53" s="21"/>
      <c r="AH53" s="21"/>
      <c r="AI53" s="21"/>
      <c r="AJ53" s="21"/>
      <c r="AK53" s="22"/>
      <c r="AL53" s="20"/>
      <c r="AM53" s="21"/>
      <c r="AN53" s="21"/>
      <c r="AO53" s="21"/>
      <c r="AP53" s="21"/>
      <c r="AQ53" s="21"/>
      <c r="AR53" s="22"/>
      <c r="AS53" s="20"/>
      <c r="AT53" s="21"/>
      <c r="AU53" s="21"/>
      <c r="AV53" s="21"/>
      <c r="AW53" s="21"/>
      <c r="AX53" s="21"/>
      <c r="AY53" s="22"/>
      <c r="AZ53" s="20"/>
      <c r="BA53" s="21"/>
      <c r="BB53" s="21"/>
      <c r="BC53" s="21"/>
      <c r="BD53" s="21"/>
      <c r="BE53" s="21"/>
      <c r="BF53" s="22"/>
      <c r="BG53" s="20"/>
      <c r="BH53" s="21"/>
      <c r="BI53" s="21"/>
      <c r="BJ53" s="21"/>
      <c r="BK53" s="21"/>
      <c r="BL53" s="21"/>
      <c r="BM53" s="22"/>
    </row>
    <row r="54" spans="1:65" x14ac:dyDescent="0.25">
      <c r="A54" s="2">
        <v>7662013</v>
      </c>
      <c r="B54" t="s">
        <v>100</v>
      </c>
      <c r="C54" s="2">
        <v>6012536782</v>
      </c>
      <c r="D54" s="5" t="s">
        <v>98</v>
      </c>
      <c r="E54" s="2">
        <v>6</v>
      </c>
      <c r="F54" s="14">
        <v>45462</v>
      </c>
      <c r="G54" s="14">
        <f>F54-K54</f>
        <v>45460</v>
      </c>
      <c r="H54" t="s">
        <v>120</v>
      </c>
      <c r="I54" s="12"/>
      <c r="J54" s="12">
        <v>2</v>
      </c>
      <c r="K54" s="12">
        <f t="shared" si="4"/>
        <v>2</v>
      </c>
      <c r="L54" s="12"/>
      <c r="M54" s="2" t="s">
        <v>5</v>
      </c>
      <c r="N54" s="5" t="s">
        <v>29</v>
      </c>
      <c r="O54" s="3">
        <f t="shared" si="3"/>
        <v>46000</v>
      </c>
      <c r="P54" s="3">
        <f>SUM(Q54:BM54)</f>
        <v>46000</v>
      </c>
      <c r="Q54" s="30"/>
      <c r="R54" s="31"/>
      <c r="S54" s="31"/>
      <c r="T54" s="31"/>
      <c r="U54" s="31"/>
      <c r="V54" s="31"/>
      <c r="W54" s="32"/>
      <c r="X54" s="30"/>
      <c r="Y54" s="31"/>
      <c r="Z54" s="31"/>
      <c r="AA54" s="31"/>
      <c r="AB54" s="31"/>
      <c r="AC54" s="31"/>
      <c r="AD54" s="32"/>
      <c r="AE54" s="30">
        <v>46000</v>
      </c>
      <c r="AF54" s="31"/>
      <c r="AG54" s="23"/>
      <c r="AH54" s="21"/>
      <c r="AI54" s="21"/>
      <c r="AJ54" s="21"/>
      <c r="AK54" s="22"/>
      <c r="AL54" s="20"/>
      <c r="AM54" s="21"/>
      <c r="AN54" s="21"/>
      <c r="AO54" s="21"/>
      <c r="AP54" s="21"/>
      <c r="AQ54" s="21"/>
      <c r="AR54" s="22"/>
      <c r="AS54" s="20"/>
      <c r="AT54" s="21"/>
      <c r="AU54" s="21"/>
      <c r="AV54" s="21"/>
      <c r="AW54" s="21"/>
      <c r="AX54" s="21"/>
      <c r="AY54" s="22"/>
      <c r="AZ54" s="20"/>
      <c r="BA54" s="21"/>
      <c r="BB54" s="21"/>
      <c r="BC54" s="21"/>
      <c r="BD54" s="21"/>
      <c r="BE54" s="21"/>
      <c r="BF54" s="22"/>
      <c r="BG54" s="20"/>
      <c r="BH54" s="21"/>
      <c r="BI54" s="21"/>
      <c r="BJ54" s="21"/>
      <c r="BK54" s="21"/>
      <c r="BL54" s="21"/>
      <c r="BM54" s="22"/>
    </row>
    <row r="55" spans="1:65" x14ac:dyDescent="0.25">
      <c r="A55" s="2">
        <v>7662014</v>
      </c>
      <c r="B55" t="s">
        <v>101</v>
      </c>
      <c r="C55" s="2">
        <v>6012537930</v>
      </c>
      <c r="D55" s="5" t="s">
        <v>98</v>
      </c>
      <c r="E55" s="2">
        <v>9</v>
      </c>
      <c r="F55" s="14">
        <v>45462</v>
      </c>
      <c r="G55" s="14">
        <f>F55-K55</f>
        <v>45460</v>
      </c>
      <c r="H55" t="s">
        <v>120</v>
      </c>
      <c r="I55" s="12"/>
      <c r="J55" s="12">
        <v>2</v>
      </c>
      <c r="K55" s="12">
        <f t="shared" si="4"/>
        <v>2</v>
      </c>
      <c r="L55" s="12"/>
      <c r="M55" s="2" t="s">
        <v>5</v>
      </c>
      <c r="N55" s="5" t="s">
        <v>29</v>
      </c>
      <c r="O55" s="3">
        <f t="shared" si="3"/>
        <v>78000</v>
      </c>
      <c r="P55" s="3">
        <f>SUM(Q55:BM55)</f>
        <v>78000</v>
      </c>
      <c r="Q55" s="30"/>
      <c r="R55" s="31"/>
      <c r="S55" s="31"/>
      <c r="T55" s="31"/>
      <c r="U55" s="31"/>
      <c r="V55" s="31"/>
      <c r="W55" s="32"/>
      <c r="X55" s="30"/>
      <c r="Y55" s="31"/>
      <c r="Z55" s="31"/>
      <c r="AA55" s="31"/>
      <c r="AB55" s="31"/>
      <c r="AC55" s="31"/>
      <c r="AD55" s="32"/>
      <c r="AE55" s="30">
        <v>78000</v>
      </c>
      <c r="AF55" s="31"/>
      <c r="AG55" s="23"/>
      <c r="AH55" s="21"/>
      <c r="AI55" s="21"/>
      <c r="AJ55" s="21"/>
      <c r="AK55" s="22"/>
      <c r="AL55" s="20"/>
      <c r="AM55" s="21"/>
      <c r="AN55" s="21"/>
      <c r="AO55" s="21"/>
      <c r="AP55" s="21"/>
      <c r="AQ55" s="21"/>
      <c r="AR55" s="22"/>
      <c r="AS55" s="20"/>
      <c r="AT55" s="21"/>
      <c r="AU55" s="21"/>
      <c r="AV55" s="21"/>
      <c r="AW55" s="21"/>
      <c r="AX55" s="21"/>
      <c r="AY55" s="22"/>
      <c r="AZ55" s="20"/>
      <c r="BA55" s="21"/>
      <c r="BB55" s="21"/>
      <c r="BC55" s="21"/>
      <c r="BD55" s="21"/>
      <c r="BE55" s="21"/>
      <c r="BF55" s="22"/>
      <c r="BG55" s="20"/>
      <c r="BH55" s="21"/>
      <c r="BI55" s="21"/>
      <c r="BJ55" s="21"/>
      <c r="BK55" s="21"/>
      <c r="BL55" s="21"/>
      <c r="BM55" s="22"/>
    </row>
    <row r="56" spans="1:65" x14ac:dyDescent="0.25">
      <c r="A56" s="2">
        <v>7662011</v>
      </c>
      <c r="B56" t="s">
        <v>99</v>
      </c>
      <c r="C56" s="2">
        <v>6012537985</v>
      </c>
      <c r="D56" s="5" t="s">
        <v>98</v>
      </c>
      <c r="E56" s="2">
        <v>3</v>
      </c>
      <c r="F56" s="14">
        <v>45462</v>
      </c>
      <c r="G56" s="14">
        <f>F56-K56</f>
        <v>45460</v>
      </c>
      <c r="H56" t="s">
        <v>120</v>
      </c>
      <c r="I56" s="12"/>
      <c r="J56" s="12">
        <v>2</v>
      </c>
      <c r="K56" s="12">
        <f t="shared" si="4"/>
        <v>2</v>
      </c>
      <c r="L56" s="12"/>
      <c r="M56" s="2" t="s">
        <v>5</v>
      </c>
      <c r="N56" s="5" t="s">
        <v>29</v>
      </c>
      <c r="O56" s="3">
        <f t="shared" si="3"/>
        <v>6000</v>
      </c>
      <c r="P56" s="3">
        <f>SUM(Q56:BM56)</f>
        <v>6000</v>
      </c>
      <c r="Q56" s="30"/>
      <c r="R56" s="31"/>
      <c r="S56" s="31"/>
      <c r="T56" s="31"/>
      <c r="U56" s="31"/>
      <c r="V56" s="31"/>
      <c r="W56" s="32"/>
      <c r="X56" s="30"/>
      <c r="Y56" s="31"/>
      <c r="Z56" s="31"/>
      <c r="AA56" s="31"/>
      <c r="AB56" s="31"/>
      <c r="AC56" s="31"/>
      <c r="AD56" s="32"/>
      <c r="AE56" s="30">
        <v>6000</v>
      </c>
      <c r="AF56" s="31"/>
      <c r="AG56" s="23"/>
      <c r="AH56" s="21"/>
      <c r="AI56" s="21"/>
      <c r="AJ56" s="21"/>
      <c r="AK56" s="22"/>
      <c r="AL56" s="20"/>
      <c r="AM56" s="21"/>
      <c r="AN56" s="21"/>
      <c r="AO56" s="21"/>
      <c r="AP56" s="21"/>
      <c r="AQ56" s="21"/>
      <c r="AR56" s="22"/>
      <c r="AS56" s="20"/>
      <c r="AT56" s="21"/>
      <c r="AU56" s="21"/>
      <c r="AV56" s="21"/>
      <c r="AW56" s="21"/>
      <c r="AX56" s="21"/>
      <c r="AY56" s="22"/>
      <c r="AZ56" s="20"/>
      <c r="BA56" s="21"/>
      <c r="BB56" s="21"/>
      <c r="BC56" s="21"/>
      <c r="BD56" s="21"/>
      <c r="BE56" s="21"/>
      <c r="BF56" s="22"/>
      <c r="BG56" s="20"/>
      <c r="BH56" s="21"/>
      <c r="BI56" s="21"/>
      <c r="BJ56" s="21"/>
      <c r="BK56" s="21"/>
      <c r="BL56" s="21"/>
      <c r="BM56" s="22"/>
    </row>
    <row r="57" spans="1:65" x14ac:dyDescent="0.25">
      <c r="A57" s="2">
        <v>7692560</v>
      </c>
      <c r="B57" t="s">
        <v>104</v>
      </c>
      <c r="C57" s="2">
        <v>6012538465</v>
      </c>
      <c r="D57" s="5" t="s">
        <v>105</v>
      </c>
      <c r="E57" s="2">
        <v>12</v>
      </c>
      <c r="F57" s="14">
        <v>45468</v>
      </c>
      <c r="G57" s="14">
        <f>F57-K57</f>
        <v>45465</v>
      </c>
      <c r="H57" t="s">
        <v>64</v>
      </c>
      <c r="I57" s="12">
        <v>1</v>
      </c>
      <c r="J57" s="12">
        <v>2</v>
      </c>
      <c r="K57" s="12">
        <f t="shared" si="4"/>
        <v>3</v>
      </c>
      <c r="L57" s="12" t="s">
        <v>118</v>
      </c>
      <c r="M57" s="2" t="s">
        <v>5</v>
      </c>
      <c r="N57" s="5" t="s">
        <v>6</v>
      </c>
      <c r="O57" s="3">
        <f t="shared" si="3"/>
        <v>0</v>
      </c>
      <c r="P57" s="3">
        <f>SUM(Q57:BM57)</f>
        <v>60000</v>
      </c>
      <c r="Q57" s="30"/>
      <c r="R57" s="31"/>
      <c r="S57" s="31"/>
      <c r="T57" s="31"/>
      <c r="U57" s="31"/>
      <c r="V57" s="31"/>
      <c r="W57" s="32"/>
      <c r="X57" s="30"/>
      <c r="Y57" s="31"/>
      <c r="Z57" s="31"/>
      <c r="AA57" s="31"/>
      <c r="AB57" s="31"/>
      <c r="AC57" s="31"/>
      <c r="AD57" s="32"/>
      <c r="AE57" s="33"/>
      <c r="AF57" s="31"/>
      <c r="AG57" s="21"/>
      <c r="AH57" s="21"/>
      <c r="AI57" s="21"/>
      <c r="AJ57" s="21">
        <v>60000</v>
      </c>
      <c r="AK57" s="22"/>
      <c r="AL57" s="20"/>
      <c r="AM57" s="23"/>
      <c r="AN57" s="21"/>
      <c r="AO57" s="21"/>
      <c r="AP57" s="21"/>
      <c r="AQ57" s="21"/>
      <c r="AR57" s="22"/>
      <c r="AS57" s="20"/>
      <c r="AT57" s="21"/>
      <c r="AU57" s="21"/>
      <c r="AV57" s="21"/>
      <c r="AW57" s="21"/>
      <c r="AX57" s="21"/>
      <c r="AY57" s="22"/>
      <c r="AZ57" s="20"/>
      <c r="BA57" s="21"/>
      <c r="BB57" s="21"/>
      <c r="BC57" s="21"/>
      <c r="BD57" s="21"/>
      <c r="BE57" s="21"/>
      <c r="BF57" s="22"/>
      <c r="BG57" s="20"/>
      <c r="BH57" s="21"/>
      <c r="BI57" s="21"/>
      <c r="BJ57" s="21"/>
      <c r="BK57" s="21"/>
      <c r="BL57" s="21"/>
      <c r="BM57" s="22"/>
    </row>
    <row r="58" spans="1:65" x14ac:dyDescent="0.25">
      <c r="A58" s="2">
        <v>7692862</v>
      </c>
      <c r="B58" t="s">
        <v>106</v>
      </c>
      <c r="C58" s="2">
        <v>6012540641</v>
      </c>
      <c r="D58" s="5" t="s">
        <v>107</v>
      </c>
      <c r="E58" s="2">
        <v>9</v>
      </c>
      <c r="F58" s="14">
        <v>45462</v>
      </c>
      <c r="G58" s="14">
        <f>F58-K58</f>
        <v>45460</v>
      </c>
      <c r="H58" t="s">
        <v>60</v>
      </c>
      <c r="I58" s="12"/>
      <c r="J58" s="12">
        <v>2</v>
      </c>
      <c r="K58" s="12">
        <f t="shared" si="4"/>
        <v>2</v>
      </c>
      <c r="L58" s="12" t="s">
        <v>116</v>
      </c>
      <c r="M58" s="2" t="s">
        <v>20</v>
      </c>
      <c r="N58" s="5" t="s">
        <v>6</v>
      </c>
      <c r="O58" s="3">
        <f t="shared" si="3"/>
        <v>13750</v>
      </c>
      <c r="P58" s="3">
        <f>SUM(Q58:BM58)</f>
        <v>13750</v>
      </c>
      <c r="Q58" s="30"/>
      <c r="R58" s="31"/>
      <c r="S58" s="31"/>
      <c r="T58" s="31"/>
      <c r="U58" s="31"/>
      <c r="V58" s="31"/>
      <c r="W58" s="32"/>
      <c r="X58" s="30"/>
      <c r="Y58" s="31"/>
      <c r="Z58" s="31"/>
      <c r="AA58" s="31"/>
      <c r="AB58" s="31"/>
      <c r="AC58" s="31"/>
      <c r="AD58" s="32"/>
      <c r="AE58" s="30">
        <v>13750</v>
      </c>
      <c r="AF58" s="31"/>
      <c r="AG58" s="23"/>
      <c r="AH58" s="21"/>
      <c r="AI58" s="21"/>
      <c r="AJ58" s="21"/>
      <c r="AK58" s="22"/>
      <c r="AL58" s="20"/>
      <c r="AM58" s="21"/>
      <c r="AN58" s="21"/>
      <c r="AO58" s="21"/>
      <c r="AP58" s="21"/>
      <c r="AQ58" s="21"/>
      <c r="AR58" s="22"/>
      <c r="AS58" s="20"/>
      <c r="AT58" s="21"/>
      <c r="AU58" s="21"/>
      <c r="AV58" s="21"/>
      <c r="AW58" s="21"/>
      <c r="AX58" s="21"/>
      <c r="AY58" s="22"/>
      <c r="AZ58" s="20"/>
      <c r="BA58" s="21"/>
      <c r="BB58" s="21"/>
      <c r="BC58" s="21"/>
      <c r="BD58" s="21"/>
      <c r="BE58" s="21"/>
      <c r="BF58" s="22"/>
      <c r="BG58" s="20"/>
      <c r="BH58" s="21"/>
      <c r="BI58" s="21"/>
      <c r="BJ58" s="21"/>
      <c r="BK58" s="21"/>
      <c r="BL58" s="21"/>
      <c r="BM58" s="22"/>
    </row>
    <row r="59" spans="1:65" x14ac:dyDescent="0.25">
      <c r="A59" s="2">
        <v>7600154</v>
      </c>
      <c r="B59" t="s">
        <v>108</v>
      </c>
      <c r="C59" s="2">
        <v>6012541587</v>
      </c>
      <c r="D59" s="5" t="s">
        <v>50</v>
      </c>
      <c r="E59" s="2">
        <v>12</v>
      </c>
      <c r="F59" s="14">
        <v>45458</v>
      </c>
      <c r="G59" s="14">
        <f>F59-K59</f>
        <v>45453</v>
      </c>
      <c r="H59" t="s">
        <v>58</v>
      </c>
      <c r="I59" s="12">
        <v>3</v>
      </c>
      <c r="J59" s="12">
        <v>2</v>
      </c>
      <c r="K59" s="12">
        <f t="shared" si="4"/>
        <v>5</v>
      </c>
      <c r="L59" s="12" t="s">
        <v>116</v>
      </c>
      <c r="M59" s="2" t="s">
        <v>5</v>
      </c>
      <c r="N59" s="5" t="s">
        <v>6</v>
      </c>
      <c r="O59" s="3">
        <f t="shared" si="3"/>
        <v>25000</v>
      </c>
      <c r="P59" s="3">
        <f>SUM(Q59:BM59)</f>
        <v>75000</v>
      </c>
      <c r="Q59" s="30"/>
      <c r="R59" s="31"/>
      <c r="S59" s="31"/>
      <c r="T59" s="31"/>
      <c r="U59" s="31"/>
      <c r="V59" s="31"/>
      <c r="W59" s="32"/>
      <c r="X59" s="30">
        <v>25000</v>
      </c>
      <c r="Y59" s="31"/>
      <c r="Z59" s="31"/>
      <c r="AA59" s="31"/>
      <c r="AB59" s="31"/>
      <c r="AC59" s="34"/>
      <c r="AD59" s="32"/>
      <c r="AE59" s="30"/>
      <c r="AF59" s="31"/>
      <c r="AG59" s="21"/>
      <c r="AH59" s="21">
        <v>25000</v>
      </c>
      <c r="AI59" s="21"/>
      <c r="AJ59" s="21"/>
      <c r="AK59" s="22"/>
      <c r="AL59" s="20"/>
      <c r="AM59" s="21">
        <v>25000</v>
      </c>
      <c r="AN59" s="21"/>
      <c r="AO59" s="21"/>
      <c r="AP59" s="21"/>
      <c r="AQ59" s="21"/>
      <c r="AR59" s="27"/>
      <c r="AS59" s="20"/>
      <c r="AT59" s="21"/>
      <c r="AU59" s="21"/>
      <c r="AV59" s="21"/>
      <c r="AW59" s="21"/>
      <c r="AX59" s="21"/>
      <c r="AY59" s="22"/>
      <c r="AZ59" s="20"/>
      <c r="BA59" s="21"/>
      <c r="BB59" s="21"/>
      <c r="BC59" s="21"/>
      <c r="BD59" s="21"/>
      <c r="BE59" s="21"/>
      <c r="BF59" s="22"/>
      <c r="BG59" s="20"/>
      <c r="BH59" s="21"/>
      <c r="BI59" s="21"/>
      <c r="BJ59" s="21"/>
      <c r="BK59" s="21"/>
      <c r="BL59" s="21"/>
      <c r="BM59" s="22"/>
    </row>
    <row r="60" spans="1:65" x14ac:dyDescent="0.25">
      <c r="A60" s="2">
        <v>7692924</v>
      </c>
      <c r="B60" t="s">
        <v>109</v>
      </c>
      <c r="C60" s="2">
        <v>6012538488</v>
      </c>
      <c r="D60" s="5" t="s">
        <v>110</v>
      </c>
      <c r="E60" s="2">
        <v>12</v>
      </c>
      <c r="F60" s="14">
        <v>45455</v>
      </c>
      <c r="G60" s="14">
        <f>F60-K60</f>
        <v>45450</v>
      </c>
      <c r="H60" t="s">
        <v>59</v>
      </c>
      <c r="I60" s="12">
        <v>3</v>
      </c>
      <c r="J60" s="12">
        <v>2</v>
      </c>
      <c r="K60" s="12">
        <f t="shared" si="4"/>
        <v>5</v>
      </c>
      <c r="L60" s="12" t="s">
        <v>119</v>
      </c>
      <c r="M60" s="2" t="s">
        <v>20</v>
      </c>
      <c r="N60" s="5" t="s">
        <v>6</v>
      </c>
      <c r="O60" s="3">
        <f t="shared" si="3"/>
        <v>22500</v>
      </c>
      <c r="P60" s="3">
        <f>SUM(Q60:BM60)</f>
        <v>22500</v>
      </c>
      <c r="Q60" s="30"/>
      <c r="R60" s="31"/>
      <c r="S60" s="31"/>
      <c r="T60" s="31"/>
      <c r="U60" s="31">
        <v>12500</v>
      </c>
      <c r="V60" s="31"/>
      <c r="W60" s="32">
        <v>10000</v>
      </c>
      <c r="X60" s="30"/>
      <c r="Y60" s="31"/>
      <c r="Z60" s="34"/>
      <c r="AA60" s="34"/>
      <c r="AB60" s="34"/>
      <c r="AC60" s="31"/>
      <c r="AD60" s="32"/>
      <c r="AE60" s="30"/>
      <c r="AF60" s="31"/>
      <c r="AG60" s="21"/>
      <c r="AH60" s="21"/>
      <c r="AI60" s="21"/>
      <c r="AJ60" s="21"/>
      <c r="AK60" s="22"/>
      <c r="AL60" s="20"/>
      <c r="AM60" s="21"/>
      <c r="AN60" s="21"/>
      <c r="AO60" s="21"/>
      <c r="AP60" s="21"/>
      <c r="AQ60" s="21"/>
      <c r="AR60" s="22"/>
      <c r="AS60" s="20"/>
      <c r="AT60" s="21"/>
      <c r="AU60" s="21"/>
      <c r="AV60" s="21"/>
      <c r="AW60" s="21"/>
      <c r="AX60" s="21"/>
      <c r="AY60" s="22"/>
      <c r="AZ60" s="20"/>
      <c r="BA60" s="21"/>
      <c r="BB60" s="21"/>
      <c r="BC60" s="21"/>
      <c r="BD60" s="21"/>
      <c r="BE60" s="21"/>
      <c r="BF60" s="22"/>
      <c r="BG60" s="20"/>
      <c r="BH60" s="21"/>
      <c r="BI60" s="21"/>
      <c r="BJ60" s="21"/>
      <c r="BK60" s="21"/>
      <c r="BL60" s="21"/>
      <c r="BM60" s="22"/>
    </row>
    <row r="61" spans="1:65" x14ac:dyDescent="0.25">
      <c r="A61" s="2">
        <v>7692924</v>
      </c>
      <c r="B61" t="s">
        <v>109</v>
      </c>
      <c r="C61" s="2">
        <v>6012540813</v>
      </c>
      <c r="D61" s="5" t="s">
        <v>110</v>
      </c>
      <c r="E61" s="2">
        <v>12</v>
      </c>
      <c r="F61" s="14">
        <v>45457</v>
      </c>
      <c r="G61" s="14">
        <f>F61-K61</f>
        <v>45452</v>
      </c>
      <c r="H61" t="s">
        <v>59</v>
      </c>
      <c r="I61" s="12">
        <v>3</v>
      </c>
      <c r="J61" s="12">
        <v>2</v>
      </c>
      <c r="K61" s="12">
        <f t="shared" si="4"/>
        <v>5</v>
      </c>
      <c r="L61" s="12" t="s">
        <v>119</v>
      </c>
      <c r="M61" s="2" t="s">
        <v>20</v>
      </c>
      <c r="N61" s="5" t="s">
        <v>6</v>
      </c>
      <c r="O61" s="3">
        <f t="shared" si="3"/>
        <v>38750</v>
      </c>
      <c r="P61" s="3">
        <f>SUM(Q61:BM61)</f>
        <v>38750</v>
      </c>
      <c r="Q61" s="30"/>
      <c r="R61" s="31"/>
      <c r="S61" s="31"/>
      <c r="T61" s="31"/>
      <c r="U61" s="31"/>
      <c r="V61" s="31"/>
      <c r="W61" s="32">
        <v>17500</v>
      </c>
      <c r="X61" s="30"/>
      <c r="Y61" s="31"/>
      <c r="Z61" s="31">
        <v>21250</v>
      </c>
      <c r="AA61" s="31"/>
      <c r="AB61" s="34"/>
      <c r="AC61" s="34"/>
      <c r="AD61" s="35"/>
      <c r="AE61" s="36"/>
      <c r="AF61" s="31"/>
      <c r="AG61" s="21"/>
      <c r="AH61" s="21"/>
      <c r="AI61" s="21"/>
      <c r="AJ61" s="21"/>
      <c r="AK61" s="22"/>
      <c r="AL61" s="20"/>
      <c r="AM61" s="21"/>
      <c r="AN61" s="21"/>
      <c r="AO61" s="21"/>
      <c r="AP61" s="21"/>
      <c r="AQ61" s="21"/>
      <c r="AR61" s="22"/>
      <c r="AS61" s="20"/>
      <c r="AT61" s="21"/>
      <c r="AU61" s="21"/>
      <c r="AV61" s="21"/>
      <c r="AW61" s="21"/>
      <c r="AX61" s="21"/>
      <c r="AY61" s="22"/>
      <c r="AZ61" s="20"/>
      <c r="BA61" s="21"/>
      <c r="BB61" s="21"/>
      <c r="BC61" s="21"/>
      <c r="BD61" s="21"/>
      <c r="BE61" s="21"/>
      <c r="BF61" s="22"/>
      <c r="BG61" s="20"/>
      <c r="BH61" s="21"/>
      <c r="BI61" s="21"/>
      <c r="BJ61" s="21"/>
      <c r="BK61" s="21"/>
      <c r="BL61" s="21"/>
      <c r="BM61" s="22"/>
    </row>
    <row r="62" spans="1:65" x14ac:dyDescent="0.25">
      <c r="A62" s="2">
        <v>7692858</v>
      </c>
      <c r="B62" t="s">
        <v>111</v>
      </c>
      <c r="C62" s="2">
        <v>6012540805</v>
      </c>
      <c r="D62" s="5" t="s">
        <v>107</v>
      </c>
      <c r="E62" s="2">
        <v>4</v>
      </c>
      <c r="F62" s="14">
        <v>45463</v>
      </c>
      <c r="G62" s="14">
        <f>F62-K62</f>
        <v>45461</v>
      </c>
      <c r="H62" t="s">
        <v>60</v>
      </c>
      <c r="I62" s="12"/>
      <c r="J62" s="12">
        <v>2</v>
      </c>
      <c r="K62" s="12">
        <f t="shared" si="4"/>
        <v>2</v>
      </c>
      <c r="L62" s="12" t="s">
        <v>116</v>
      </c>
      <c r="M62" s="2" t="s">
        <v>20</v>
      </c>
      <c r="N62" s="5" t="s">
        <v>6</v>
      </c>
      <c r="O62" s="3">
        <f t="shared" si="3"/>
        <v>25000</v>
      </c>
      <c r="P62" s="3">
        <f>SUM(Q62:BM62)</f>
        <v>25000</v>
      </c>
      <c r="Q62" s="30"/>
      <c r="R62" s="31"/>
      <c r="S62" s="31"/>
      <c r="T62" s="31"/>
      <c r="U62" s="31"/>
      <c r="V62" s="31"/>
      <c r="W62" s="32"/>
      <c r="X62" s="30"/>
      <c r="Y62" s="31"/>
      <c r="Z62" s="31"/>
      <c r="AA62" s="31"/>
      <c r="AB62" s="31"/>
      <c r="AC62" s="31"/>
      <c r="AD62" s="32"/>
      <c r="AE62" s="30"/>
      <c r="AF62" s="31">
        <v>25000</v>
      </c>
      <c r="AG62" s="21"/>
      <c r="AH62" s="23"/>
      <c r="AI62" s="21"/>
      <c r="AJ62" s="21"/>
      <c r="AK62" s="22"/>
      <c r="AL62" s="20"/>
      <c r="AM62" s="21"/>
      <c r="AN62" s="21"/>
      <c r="AO62" s="21"/>
      <c r="AP62" s="21"/>
      <c r="AQ62" s="21"/>
      <c r="AR62" s="22"/>
      <c r="AS62" s="20"/>
      <c r="AT62" s="21"/>
      <c r="AU62" s="21"/>
      <c r="AV62" s="21"/>
      <c r="AW62" s="21"/>
      <c r="AX62" s="21"/>
      <c r="AY62" s="22"/>
      <c r="AZ62" s="20"/>
      <c r="BA62" s="21"/>
      <c r="BB62" s="21"/>
      <c r="BC62" s="21"/>
      <c r="BD62" s="21"/>
      <c r="BE62" s="21"/>
      <c r="BF62" s="22"/>
      <c r="BG62" s="20"/>
      <c r="BH62" s="21"/>
      <c r="BI62" s="21"/>
      <c r="BJ62" s="21"/>
      <c r="BK62" s="21"/>
      <c r="BL62" s="21"/>
      <c r="BM62" s="22"/>
    </row>
    <row r="63" spans="1:65" x14ac:dyDescent="0.25">
      <c r="A63" s="2">
        <v>7652041</v>
      </c>
      <c r="B63" t="s">
        <v>112</v>
      </c>
      <c r="C63" s="2">
        <v>6012543568</v>
      </c>
      <c r="D63" s="5" t="s">
        <v>102</v>
      </c>
      <c r="E63" s="2">
        <v>3</v>
      </c>
      <c r="F63" s="14">
        <v>45463</v>
      </c>
      <c r="G63" s="14">
        <f>F63-K63</f>
        <v>45461</v>
      </c>
      <c r="H63" t="s">
        <v>121</v>
      </c>
      <c r="I63" s="12"/>
      <c r="J63" s="12">
        <v>2</v>
      </c>
      <c r="K63" s="12">
        <f t="shared" si="4"/>
        <v>2</v>
      </c>
      <c r="L63" s="12"/>
      <c r="M63" s="2" t="s">
        <v>5</v>
      </c>
      <c r="N63" s="5" t="s">
        <v>113</v>
      </c>
      <c r="O63" s="3">
        <f t="shared" si="3"/>
        <v>15000</v>
      </c>
      <c r="P63" s="3">
        <f>SUM(Q63:BM63)</f>
        <v>15000</v>
      </c>
      <c r="Q63" s="30"/>
      <c r="R63" s="31"/>
      <c r="S63" s="31"/>
      <c r="T63" s="31"/>
      <c r="U63" s="31"/>
      <c r="V63" s="31"/>
      <c r="W63" s="32"/>
      <c r="X63" s="30"/>
      <c r="Y63" s="31"/>
      <c r="Z63" s="31"/>
      <c r="AA63" s="31"/>
      <c r="AB63" s="31"/>
      <c r="AC63" s="31"/>
      <c r="AD63" s="32"/>
      <c r="AE63" s="30"/>
      <c r="AF63" s="31">
        <v>15000</v>
      </c>
      <c r="AG63" s="21"/>
      <c r="AH63" s="23"/>
      <c r="AI63" s="21"/>
      <c r="AJ63" s="21"/>
      <c r="AK63" s="22"/>
      <c r="AL63" s="20"/>
      <c r="AM63" s="21"/>
      <c r="AN63" s="21"/>
      <c r="AO63" s="21"/>
      <c r="AP63" s="21"/>
      <c r="AQ63" s="21"/>
      <c r="AR63" s="22"/>
      <c r="AS63" s="20"/>
      <c r="AT63" s="21"/>
      <c r="AU63" s="21"/>
      <c r="AV63" s="21"/>
      <c r="AW63" s="21"/>
      <c r="AX63" s="21"/>
      <c r="AY63" s="22"/>
      <c r="AZ63" s="20"/>
      <c r="BA63" s="21"/>
      <c r="BB63" s="21"/>
      <c r="BC63" s="21"/>
      <c r="BD63" s="21"/>
      <c r="BE63" s="21"/>
      <c r="BF63" s="22"/>
      <c r="BG63" s="20"/>
      <c r="BH63" s="21"/>
      <c r="BI63" s="21"/>
      <c r="BJ63" s="21"/>
      <c r="BK63" s="21"/>
      <c r="BL63" s="21"/>
      <c r="BM63" s="22"/>
    </row>
    <row r="64" spans="1:65" ht="15.75" thickBot="1" x14ac:dyDescent="0.3">
      <c r="A64" s="2">
        <v>7692923</v>
      </c>
      <c r="B64" t="s">
        <v>114</v>
      </c>
      <c r="C64" s="2">
        <v>6012544658</v>
      </c>
      <c r="D64" s="5" t="s">
        <v>31</v>
      </c>
      <c r="E64" s="2">
        <v>9</v>
      </c>
      <c r="F64" s="14">
        <v>45464</v>
      </c>
      <c r="G64" s="14">
        <f>F64-K64</f>
        <v>45460</v>
      </c>
      <c r="H64" t="s">
        <v>59</v>
      </c>
      <c r="I64" s="12">
        <v>2</v>
      </c>
      <c r="J64" s="12">
        <v>2</v>
      </c>
      <c r="K64" s="12">
        <f t="shared" si="4"/>
        <v>4</v>
      </c>
      <c r="L64" s="12" t="s">
        <v>116</v>
      </c>
      <c r="M64" s="2" t="s">
        <v>20</v>
      </c>
      <c r="N64" s="5" t="s">
        <v>6</v>
      </c>
      <c r="O64" s="3">
        <f t="shared" si="3"/>
        <v>66250</v>
      </c>
      <c r="P64" s="3">
        <f>SUM(Q64:BM64)</f>
        <v>206250</v>
      </c>
      <c r="Q64" s="37"/>
      <c r="R64" s="38"/>
      <c r="S64" s="38"/>
      <c r="T64" s="38"/>
      <c r="U64" s="38"/>
      <c r="V64" s="38"/>
      <c r="W64" s="39"/>
      <c r="X64" s="37"/>
      <c r="Y64" s="38"/>
      <c r="Z64" s="38"/>
      <c r="AA64" s="38"/>
      <c r="AB64" s="38"/>
      <c r="AC64" s="38"/>
      <c r="AD64" s="39"/>
      <c r="AE64" s="37">
        <v>66250</v>
      </c>
      <c r="AF64" s="38"/>
      <c r="AG64" s="25"/>
      <c r="AH64" s="25"/>
      <c r="AI64" s="25">
        <v>70000</v>
      </c>
      <c r="AJ64" s="25"/>
      <c r="AK64" s="26"/>
      <c r="AL64" s="24"/>
      <c r="AM64" s="25">
        <v>70000</v>
      </c>
      <c r="AN64" s="29"/>
      <c r="AO64" s="29"/>
      <c r="AP64" s="29"/>
      <c r="AQ64" s="29"/>
      <c r="AR64" s="26"/>
      <c r="AS64" s="24"/>
      <c r="AT64" s="25"/>
      <c r="AU64" s="25"/>
      <c r="AV64" s="25"/>
      <c r="AW64" s="25"/>
      <c r="AX64" s="25"/>
      <c r="AY64" s="26"/>
      <c r="AZ64" s="24"/>
      <c r="BA64" s="25"/>
      <c r="BB64" s="25"/>
      <c r="BC64" s="25"/>
      <c r="BD64" s="25"/>
      <c r="BE64" s="25"/>
      <c r="BF64" s="26"/>
      <c r="BG64" s="24"/>
      <c r="BH64" s="25"/>
      <c r="BI64" s="25"/>
      <c r="BJ64" s="25"/>
      <c r="BK64" s="25"/>
      <c r="BL64" s="25"/>
      <c r="BM64" s="26"/>
    </row>
    <row r="65" spans="13:14" x14ac:dyDescent="0.25">
      <c r="M65" s="2"/>
      <c r="N65" s="5"/>
    </row>
    <row r="66" spans="13:14" x14ac:dyDescent="0.25">
      <c r="M66" s="2"/>
      <c r="N66" s="5"/>
    </row>
    <row r="67" spans="13:14" x14ac:dyDescent="0.25">
      <c r="M67" s="2"/>
      <c r="N67" s="5"/>
    </row>
    <row r="68" spans="13:14" x14ac:dyDescent="0.25">
      <c r="M68" s="2"/>
      <c r="N68" s="5"/>
    </row>
    <row r="69" spans="13:14" x14ac:dyDescent="0.25">
      <c r="M69" s="2"/>
      <c r="N69" s="5"/>
    </row>
    <row r="70" spans="13:14" x14ac:dyDescent="0.25">
      <c r="M70" s="2"/>
      <c r="N70" s="5"/>
    </row>
    <row r="71" spans="13:14" x14ac:dyDescent="0.25">
      <c r="M71" s="2"/>
      <c r="N71" s="5"/>
    </row>
    <row r="72" spans="13:14" x14ac:dyDescent="0.25">
      <c r="M72" s="2"/>
      <c r="N72" s="5"/>
    </row>
    <row r="73" spans="13:14" x14ac:dyDescent="0.25">
      <c r="M73" s="2"/>
      <c r="N73" s="5"/>
    </row>
    <row r="74" spans="13:14" x14ac:dyDescent="0.25">
      <c r="M74" s="2"/>
      <c r="N74" s="5"/>
    </row>
    <row r="75" spans="13:14" x14ac:dyDescent="0.25">
      <c r="M75" s="2"/>
      <c r="N75" s="5"/>
    </row>
    <row r="76" spans="13:14" x14ac:dyDescent="0.25">
      <c r="M76" s="2"/>
      <c r="N76" s="5"/>
    </row>
    <row r="77" spans="13:14" x14ac:dyDescent="0.25">
      <c r="M77" s="2"/>
      <c r="N77" s="5"/>
    </row>
    <row r="78" spans="13:14" x14ac:dyDescent="0.25">
      <c r="M78" s="2"/>
      <c r="N78" s="5"/>
    </row>
    <row r="79" spans="13:14" x14ac:dyDescent="0.25">
      <c r="M79" s="2"/>
      <c r="N79" s="5"/>
    </row>
    <row r="80" spans="13:14" x14ac:dyDescent="0.25">
      <c r="M80" s="2"/>
      <c r="N80" s="5"/>
    </row>
    <row r="81" spans="13:14" x14ac:dyDescent="0.25">
      <c r="M81" s="2"/>
      <c r="N81" s="5"/>
    </row>
    <row r="82" spans="13:14" x14ac:dyDescent="0.25">
      <c r="M82" s="2"/>
      <c r="N82" s="5"/>
    </row>
    <row r="83" spans="13:14" x14ac:dyDescent="0.25">
      <c r="M83" s="2"/>
      <c r="N83" s="5"/>
    </row>
    <row r="84" spans="13:14" x14ac:dyDescent="0.25">
      <c r="M84" s="2"/>
      <c r="N84" s="5"/>
    </row>
    <row r="85" spans="13:14" x14ac:dyDescent="0.25">
      <c r="M85" s="2"/>
      <c r="N85" s="5"/>
    </row>
    <row r="86" spans="13:14" x14ac:dyDescent="0.25">
      <c r="M86" s="2"/>
      <c r="N86" s="5"/>
    </row>
    <row r="87" spans="13:14" x14ac:dyDescent="0.25">
      <c r="M87" s="2"/>
      <c r="N87" s="5"/>
    </row>
    <row r="88" spans="13:14" x14ac:dyDescent="0.25">
      <c r="M88" s="2"/>
      <c r="N88" s="5"/>
    </row>
    <row r="89" spans="13:14" x14ac:dyDescent="0.25">
      <c r="M89" s="2"/>
      <c r="N89" s="5"/>
    </row>
    <row r="90" spans="13:14" x14ac:dyDescent="0.25">
      <c r="M90" s="2"/>
      <c r="N90" s="5"/>
    </row>
    <row r="91" spans="13:14" x14ac:dyDescent="0.25">
      <c r="M91" s="2"/>
      <c r="N91" s="5"/>
    </row>
    <row r="92" spans="13:14" x14ac:dyDescent="0.25">
      <c r="M92" s="2"/>
      <c r="N92" s="5"/>
    </row>
    <row r="93" spans="13:14" x14ac:dyDescent="0.25">
      <c r="M93" s="2"/>
      <c r="N93" s="5"/>
    </row>
    <row r="94" spans="13:14" x14ac:dyDescent="0.25">
      <c r="M94" s="2"/>
      <c r="N94" s="5"/>
    </row>
    <row r="95" spans="13:14" x14ac:dyDescent="0.25">
      <c r="M95" s="2"/>
      <c r="N95" s="5"/>
    </row>
    <row r="96" spans="13:14" x14ac:dyDescent="0.25">
      <c r="M96" s="2"/>
      <c r="N96" s="5"/>
    </row>
    <row r="97" spans="13:14" x14ac:dyDescent="0.25">
      <c r="M97" s="2"/>
      <c r="N97" s="5"/>
    </row>
    <row r="98" spans="13:14" x14ac:dyDescent="0.25">
      <c r="M98" s="2"/>
      <c r="N98" s="5"/>
    </row>
    <row r="99" spans="13:14" x14ac:dyDescent="0.25">
      <c r="M99" s="2"/>
      <c r="N99" s="5"/>
    </row>
    <row r="100" spans="13:14" x14ac:dyDescent="0.25">
      <c r="M100" s="2"/>
      <c r="N100" s="5"/>
    </row>
    <row r="101" spans="13:14" x14ac:dyDescent="0.25">
      <c r="M101" s="2"/>
      <c r="N101" s="5"/>
    </row>
    <row r="102" spans="13:14" x14ac:dyDescent="0.25">
      <c r="M102" s="2"/>
      <c r="N102" s="5"/>
    </row>
    <row r="103" spans="13:14" x14ac:dyDescent="0.25">
      <c r="M103" s="2"/>
      <c r="N103" s="5"/>
    </row>
    <row r="104" spans="13:14" x14ac:dyDescent="0.25">
      <c r="M104" s="2"/>
      <c r="N104" s="5"/>
    </row>
    <row r="105" spans="13:14" x14ac:dyDescent="0.25">
      <c r="M105" s="2"/>
      <c r="N105" s="5"/>
    </row>
    <row r="106" spans="13:14" x14ac:dyDescent="0.25">
      <c r="M106" s="2"/>
      <c r="N106" s="5"/>
    </row>
    <row r="107" spans="13:14" x14ac:dyDescent="0.25">
      <c r="M107" s="2"/>
      <c r="N107" s="5"/>
    </row>
    <row r="108" spans="13:14" x14ac:dyDescent="0.25">
      <c r="M108" s="2"/>
      <c r="N108" s="5"/>
    </row>
    <row r="109" spans="13:14" x14ac:dyDescent="0.25">
      <c r="M109" s="2"/>
      <c r="N109" s="5"/>
    </row>
    <row r="110" spans="13:14" x14ac:dyDescent="0.25">
      <c r="M110" s="2"/>
      <c r="N110" s="5"/>
    </row>
    <row r="111" spans="13:14" x14ac:dyDescent="0.25">
      <c r="M111" s="2"/>
      <c r="N111" s="5"/>
    </row>
    <row r="112" spans="13:14" x14ac:dyDescent="0.25">
      <c r="M112" s="2"/>
      <c r="N112" s="5"/>
    </row>
    <row r="113" spans="13:14" x14ac:dyDescent="0.25">
      <c r="M113" s="2"/>
      <c r="N113" s="5"/>
    </row>
    <row r="114" spans="13:14" x14ac:dyDescent="0.25">
      <c r="M114" s="2"/>
      <c r="N114" s="5"/>
    </row>
    <row r="115" spans="13:14" x14ac:dyDescent="0.25">
      <c r="M115" s="2"/>
      <c r="N115" s="5"/>
    </row>
    <row r="116" spans="13:14" x14ac:dyDescent="0.25">
      <c r="M116" s="2"/>
      <c r="N116" s="5"/>
    </row>
    <row r="117" spans="13:14" x14ac:dyDescent="0.25">
      <c r="M117" s="2"/>
      <c r="N117" s="5"/>
    </row>
    <row r="118" spans="13:14" x14ac:dyDescent="0.25">
      <c r="M118" s="2"/>
      <c r="N118" s="5"/>
    </row>
    <row r="119" spans="13:14" x14ac:dyDescent="0.25">
      <c r="M119" s="2"/>
      <c r="N119" s="5"/>
    </row>
    <row r="120" spans="13:14" x14ac:dyDescent="0.25">
      <c r="M120" s="2"/>
      <c r="N120" s="5"/>
    </row>
  </sheetData>
  <autoFilter ref="A3:BM64" xr:uid="{E43B9CDF-67E7-4E7B-B01D-B027DA7EE728}"/>
  <conditionalFormatting sqref="C3">
    <cfRule type="duplicateValues" dxfId="6" priority="23"/>
  </conditionalFormatting>
  <conditionalFormatting sqref="C4:C64">
    <cfRule type="duplicateValues" dxfId="5" priority="33"/>
  </conditionalFormatting>
  <conditionalFormatting sqref="AS40">
    <cfRule type="duplicateValues" dxfId="4" priority="2"/>
  </conditionalFormatting>
  <conditionalFormatting sqref="AS40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405E-5A6D-4380-B8BA-AF57E580B666}">
  <sheetPr codeName="Hoja4" filterMode="1"/>
  <dimension ref="A1:BI64"/>
  <sheetViews>
    <sheetView topLeftCell="M1" zoomScale="50" zoomScaleNormal="50" workbookViewId="0">
      <selection activeCell="AH35" sqref="AH35"/>
    </sheetView>
  </sheetViews>
  <sheetFormatPr baseColWidth="10" defaultColWidth="11.42578125" defaultRowHeight="15" x14ac:dyDescent="0.25"/>
  <cols>
    <col min="1" max="1" width="12.42578125" style="2" customWidth="1"/>
    <col min="2" max="2" width="56.140625" customWidth="1"/>
    <col min="3" max="3" width="15.42578125" style="2" customWidth="1"/>
    <col min="4" max="4" width="27.5703125" customWidth="1"/>
    <col min="5" max="5" width="13.42578125" customWidth="1"/>
    <col min="6" max="6" width="16.28515625" customWidth="1"/>
    <col min="7" max="7" width="26.5703125" bestFit="1" customWidth="1"/>
    <col min="8" max="8" width="18.85546875" customWidth="1"/>
    <col min="9" max="9" width="17.85546875" customWidth="1"/>
    <col min="10" max="10" width="24.28515625" customWidth="1"/>
    <col min="11" max="11" width="19.5703125" customWidth="1"/>
    <col min="12" max="61" width="16.5703125" style="2" customWidth="1"/>
    <col min="62" max="16384" width="11.42578125" style="2"/>
  </cols>
  <sheetData>
    <row r="1" spans="1:61" ht="26.25" x14ac:dyDescent="0.4">
      <c r="K1" s="13" t="s">
        <v>45</v>
      </c>
    </row>
    <row r="2" spans="1:61" x14ac:dyDescent="0.25">
      <c r="J2" s="3">
        <f t="shared" ref="J2:AO2" si="0">SUM(J4:J64)</f>
        <v>0</v>
      </c>
      <c r="K2" s="3">
        <f t="shared" si="0"/>
        <v>5105450</v>
      </c>
      <c r="L2" s="3">
        <f t="shared" si="0"/>
        <v>45000</v>
      </c>
      <c r="M2" s="3">
        <f t="shared" si="0"/>
        <v>0</v>
      </c>
      <c r="N2" s="3">
        <f t="shared" si="0"/>
        <v>115000</v>
      </c>
      <c r="O2" s="3">
        <f t="shared" si="0"/>
        <v>0</v>
      </c>
      <c r="P2" s="3">
        <f t="shared" si="0"/>
        <v>0</v>
      </c>
      <c r="Q2" s="3">
        <f t="shared" si="0"/>
        <v>0</v>
      </c>
      <c r="R2" s="3">
        <f t="shared" si="0"/>
        <v>0</v>
      </c>
      <c r="S2" s="3">
        <f t="shared" si="0"/>
        <v>0</v>
      </c>
      <c r="T2" s="3">
        <f t="shared" si="0"/>
        <v>72500</v>
      </c>
      <c r="U2" s="3">
        <f t="shared" si="0"/>
        <v>12500</v>
      </c>
      <c r="V2" s="3">
        <f t="shared" si="0"/>
        <v>125000</v>
      </c>
      <c r="W2" s="3">
        <f t="shared" si="0"/>
        <v>60000</v>
      </c>
      <c r="X2" s="3">
        <f t="shared" si="0"/>
        <v>26250</v>
      </c>
      <c r="Y2" s="3">
        <f t="shared" si="0"/>
        <v>82500</v>
      </c>
      <c r="Z2" s="3">
        <f t="shared" si="0"/>
        <v>108950</v>
      </c>
      <c r="AA2" s="3">
        <f t="shared" si="0"/>
        <v>202500</v>
      </c>
      <c r="AB2" s="3">
        <f t="shared" si="0"/>
        <v>263750</v>
      </c>
      <c r="AC2" s="3">
        <f t="shared" si="0"/>
        <v>437500</v>
      </c>
      <c r="AD2" s="3">
        <f t="shared" si="0"/>
        <v>148750</v>
      </c>
      <c r="AE2" s="3">
        <f t="shared" si="0"/>
        <v>160000</v>
      </c>
      <c r="AF2" s="3">
        <f t="shared" si="0"/>
        <v>0</v>
      </c>
      <c r="AG2" s="3">
        <f t="shared" si="0"/>
        <v>561250</v>
      </c>
      <c r="AH2" s="3">
        <f t="shared" si="0"/>
        <v>545000</v>
      </c>
      <c r="AI2" s="3">
        <f t="shared" si="0"/>
        <v>236250</v>
      </c>
      <c r="AJ2" s="3">
        <f t="shared" si="0"/>
        <v>810250</v>
      </c>
      <c r="AK2" s="3">
        <f t="shared" si="0"/>
        <v>262500</v>
      </c>
      <c r="AL2" s="3">
        <f t="shared" si="0"/>
        <v>275000</v>
      </c>
      <c r="AM2" s="3">
        <f t="shared" si="0"/>
        <v>25000</v>
      </c>
      <c r="AN2" s="3">
        <f t="shared" si="0"/>
        <v>20000</v>
      </c>
      <c r="AO2" s="3">
        <f t="shared" si="0"/>
        <v>60000</v>
      </c>
      <c r="AP2" s="3">
        <f t="shared" ref="AP2:BI2" si="1">SUM(AP4:AP64)</f>
        <v>20000</v>
      </c>
      <c r="AQ2" s="3">
        <f t="shared" si="1"/>
        <v>0</v>
      </c>
      <c r="AR2" s="3">
        <f t="shared" si="1"/>
        <v>0</v>
      </c>
      <c r="AS2" s="3">
        <f t="shared" si="1"/>
        <v>110000</v>
      </c>
      <c r="AT2" s="3">
        <f t="shared" si="1"/>
        <v>0</v>
      </c>
      <c r="AU2" s="3">
        <f t="shared" si="1"/>
        <v>20000</v>
      </c>
      <c r="AV2" s="3">
        <f t="shared" si="1"/>
        <v>0</v>
      </c>
      <c r="AW2" s="3">
        <f t="shared" si="1"/>
        <v>90000</v>
      </c>
      <c r="AX2" s="3">
        <f t="shared" si="1"/>
        <v>0</v>
      </c>
      <c r="AY2" s="3">
        <f t="shared" si="1"/>
        <v>0</v>
      </c>
      <c r="AZ2" s="3">
        <f t="shared" si="1"/>
        <v>60000</v>
      </c>
      <c r="BA2" s="3">
        <f t="shared" si="1"/>
        <v>0</v>
      </c>
      <c r="BB2" s="3">
        <f t="shared" si="1"/>
        <v>20000</v>
      </c>
      <c r="BC2" s="3">
        <f t="shared" si="1"/>
        <v>60000</v>
      </c>
      <c r="BD2" s="3">
        <f t="shared" si="1"/>
        <v>40000</v>
      </c>
      <c r="BE2" s="3">
        <f t="shared" si="1"/>
        <v>0</v>
      </c>
      <c r="BF2" s="3">
        <f t="shared" si="1"/>
        <v>0</v>
      </c>
      <c r="BG2" s="3">
        <f t="shared" si="1"/>
        <v>0</v>
      </c>
      <c r="BH2" s="3">
        <f t="shared" si="1"/>
        <v>0</v>
      </c>
      <c r="BI2" s="3">
        <f t="shared" si="1"/>
        <v>30000</v>
      </c>
    </row>
    <row r="3" spans="1:61" ht="42" customHeight="1" x14ac:dyDescent="0.25">
      <c r="A3" s="9" t="s">
        <v>0</v>
      </c>
      <c r="B3" s="9" t="s">
        <v>1</v>
      </c>
      <c r="C3" s="9" t="s">
        <v>2</v>
      </c>
      <c r="D3" s="10" t="s">
        <v>81</v>
      </c>
      <c r="E3" s="9" t="s">
        <v>3</v>
      </c>
      <c r="F3" s="8" t="s">
        <v>14</v>
      </c>
      <c r="G3" s="9" t="s">
        <v>13</v>
      </c>
      <c r="H3" s="8" t="s">
        <v>15</v>
      </c>
      <c r="I3" s="9" t="s">
        <v>4</v>
      </c>
      <c r="J3" s="8" t="s">
        <v>115</v>
      </c>
      <c r="K3" s="8" t="s">
        <v>41</v>
      </c>
      <c r="L3" s="15">
        <v>45446</v>
      </c>
      <c r="M3" s="15">
        <v>45447</v>
      </c>
      <c r="N3" s="15">
        <v>45448</v>
      </c>
      <c r="O3" s="15">
        <v>45449</v>
      </c>
      <c r="P3" s="15">
        <v>45450</v>
      </c>
      <c r="Q3" s="15">
        <v>45451</v>
      </c>
      <c r="R3" s="15">
        <v>45452</v>
      </c>
      <c r="S3" s="15">
        <v>45453</v>
      </c>
      <c r="T3" s="15">
        <v>45454</v>
      </c>
      <c r="U3" s="15">
        <v>45455</v>
      </c>
      <c r="V3" s="15">
        <v>45456</v>
      </c>
      <c r="W3" s="15">
        <v>45457</v>
      </c>
      <c r="X3" s="15">
        <v>45458</v>
      </c>
      <c r="Y3" s="15">
        <v>45459</v>
      </c>
      <c r="Z3" s="15">
        <v>45460</v>
      </c>
      <c r="AA3" s="15">
        <v>45461</v>
      </c>
      <c r="AB3" s="15">
        <v>45462</v>
      </c>
      <c r="AC3" s="15">
        <v>45463</v>
      </c>
      <c r="AD3" s="15">
        <v>45464</v>
      </c>
      <c r="AE3" s="15">
        <v>45465</v>
      </c>
      <c r="AF3" s="15">
        <v>45466</v>
      </c>
      <c r="AG3" s="15">
        <v>45467</v>
      </c>
      <c r="AH3" s="15">
        <v>45468</v>
      </c>
      <c r="AI3" s="15">
        <v>45469</v>
      </c>
      <c r="AJ3" s="15">
        <v>45470</v>
      </c>
      <c r="AK3" s="15">
        <v>45471</v>
      </c>
      <c r="AL3" s="15">
        <v>45472</v>
      </c>
      <c r="AM3" s="15">
        <v>45473</v>
      </c>
      <c r="AN3" s="15">
        <v>45474</v>
      </c>
      <c r="AO3" s="15">
        <v>45475</v>
      </c>
      <c r="AP3" s="15">
        <v>45476</v>
      </c>
      <c r="AQ3" s="15">
        <v>45477</v>
      </c>
      <c r="AR3" s="15">
        <v>45478</v>
      </c>
      <c r="AS3" s="15">
        <v>45479</v>
      </c>
      <c r="AT3" s="15">
        <v>45480</v>
      </c>
      <c r="AU3" s="15">
        <v>45481</v>
      </c>
      <c r="AV3" s="15">
        <v>45482</v>
      </c>
      <c r="AW3" s="15">
        <v>45483</v>
      </c>
      <c r="AX3" s="15">
        <v>45484</v>
      </c>
      <c r="AY3" s="15">
        <v>45485</v>
      </c>
      <c r="AZ3" s="15">
        <v>45486</v>
      </c>
      <c r="BA3" s="15">
        <v>45487</v>
      </c>
      <c r="BB3" s="15">
        <v>45488</v>
      </c>
      <c r="BC3" s="15">
        <v>45489</v>
      </c>
      <c r="BD3" s="15">
        <v>45490</v>
      </c>
      <c r="BE3" s="15">
        <v>45491</v>
      </c>
      <c r="BF3" s="15">
        <v>45492</v>
      </c>
      <c r="BG3" s="15">
        <v>45493</v>
      </c>
      <c r="BH3" s="15">
        <v>45494</v>
      </c>
      <c r="BI3" s="15">
        <v>45495</v>
      </c>
    </row>
    <row r="4" spans="1:61" hidden="1" x14ac:dyDescent="0.25">
      <c r="A4" s="2">
        <v>7692883</v>
      </c>
      <c r="B4" t="s">
        <v>33</v>
      </c>
      <c r="C4" s="2">
        <v>6012432903</v>
      </c>
      <c r="D4" t="s">
        <v>34</v>
      </c>
      <c r="E4" s="2">
        <v>4</v>
      </c>
      <c r="F4" s="2">
        <v>7</v>
      </c>
      <c r="G4" s="2" t="s">
        <v>5</v>
      </c>
      <c r="H4" s="2"/>
      <c r="I4" s="5" t="s">
        <v>29</v>
      </c>
      <c r="J4" s="3"/>
      <c r="K4" s="3">
        <f t="shared" ref="K4:K54" si="2">SUM(L4:BI4)</f>
        <v>104000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>
        <v>104000</v>
      </c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</row>
    <row r="5" spans="1:61" hidden="1" x14ac:dyDescent="0.25">
      <c r="A5" s="2">
        <v>7692887</v>
      </c>
      <c r="B5" t="s">
        <v>35</v>
      </c>
      <c r="C5" s="2">
        <v>6012433361</v>
      </c>
      <c r="D5" t="s">
        <v>34</v>
      </c>
      <c r="E5" s="2">
        <v>2</v>
      </c>
      <c r="F5" s="2">
        <v>7</v>
      </c>
      <c r="G5" s="2" t="s">
        <v>5</v>
      </c>
      <c r="H5" s="2"/>
      <c r="I5" s="5" t="s">
        <v>29</v>
      </c>
      <c r="J5" s="3"/>
      <c r="K5" s="3">
        <f t="shared" si="2"/>
        <v>26000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>
        <v>26000</v>
      </c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</row>
    <row r="6" spans="1:61" hidden="1" x14ac:dyDescent="0.25">
      <c r="A6" s="2">
        <v>7692888</v>
      </c>
      <c r="B6" t="s">
        <v>36</v>
      </c>
      <c r="C6" s="2">
        <v>6012433458</v>
      </c>
      <c r="D6" t="s">
        <v>34</v>
      </c>
      <c r="E6" s="2">
        <v>3</v>
      </c>
      <c r="F6" s="2">
        <v>7</v>
      </c>
      <c r="G6" s="2" t="s">
        <v>5</v>
      </c>
      <c r="H6" s="2"/>
      <c r="I6" s="5" t="s">
        <v>29</v>
      </c>
      <c r="J6" s="3"/>
      <c r="K6" s="3">
        <f t="shared" si="2"/>
        <v>52000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>
        <v>52000</v>
      </c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</row>
    <row r="7" spans="1:61" hidden="1" x14ac:dyDescent="0.25">
      <c r="A7" s="2">
        <v>7692885</v>
      </c>
      <c r="B7" t="s">
        <v>37</v>
      </c>
      <c r="C7" s="2">
        <v>6012433635</v>
      </c>
      <c r="D7" t="s">
        <v>34</v>
      </c>
      <c r="E7" s="2">
        <v>9</v>
      </c>
      <c r="F7" s="2">
        <v>7</v>
      </c>
      <c r="G7" s="2" t="s">
        <v>5</v>
      </c>
      <c r="H7" s="2"/>
      <c r="I7" s="5" t="s">
        <v>29</v>
      </c>
      <c r="J7" s="3"/>
      <c r="K7" s="3">
        <f t="shared" si="2"/>
        <v>180000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>
        <v>180000</v>
      </c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</row>
    <row r="8" spans="1:61" hidden="1" x14ac:dyDescent="0.25">
      <c r="A8" s="2">
        <v>7692879</v>
      </c>
      <c r="B8" t="s">
        <v>38</v>
      </c>
      <c r="C8" s="2">
        <v>6012433792</v>
      </c>
      <c r="D8" t="s">
        <v>34</v>
      </c>
      <c r="E8" s="2">
        <v>6</v>
      </c>
      <c r="F8" s="2">
        <v>7</v>
      </c>
      <c r="G8" s="2" t="s">
        <v>5</v>
      </c>
      <c r="H8" s="2"/>
      <c r="I8" s="5" t="s">
        <v>6</v>
      </c>
      <c r="J8" s="3"/>
      <c r="K8" s="3">
        <f t="shared" si="2"/>
        <v>1000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>
        <v>1000</v>
      </c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</row>
    <row r="9" spans="1:61" hidden="1" x14ac:dyDescent="0.25">
      <c r="A9" s="2">
        <v>7692884</v>
      </c>
      <c r="B9" t="s">
        <v>39</v>
      </c>
      <c r="C9" s="2">
        <v>6012433815</v>
      </c>
      <c r="D9" t="s">
        <v>34</v>
      </c>
      <c r="E9" s="2">
        <v>6</v>
      </c>
      <c r="F9" s="2">
        <v>7</v>
      </c>
      <c r="G9" s="2" t="s">
        <v>5</v>
      </c>
      <c r="H9" s="2"/>
      <c r="I9" s="5" t="s">
        <v>29</v>
      </c>
      <c r="J9" s="3"/>
      <c r="K9" s="3">
        <f t="shared" si="2"/>
        <v>260000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>
        <v>260000</v>
      </c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</row>
    <row r="10" spans="1:61" hidden="1" x14ac:dyDescent="0.25">
      <c r="A10" s="2">
        <v>7692880</v>
      </c>
      <c r="B10" t="s">
        <v>40</v>
      </c>
      <c r="C10" s="2">
        <v>6012433828</v>
      </c>
      <c r="D10" s="5" t="s">
        <v>34</v>
      </c>
      <c r="E10" s="2">
        <v>9</v>
      </c>
      <c r="F10" s="2">
        <v>7</v>
      </c>
      <c r="G10" s="2" t="s">
        <v>5</v>
      </c>
      <c r="H10" s="2"/>
      <c r="I10" s="5" t="s">
        <v>6</v>
      </c>
      <c r="J10" s="3"/>
      <c r="K10" s="3">
        <f t="shared" si="2"/>
        <v>1000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>
        <v>1000</v>
      </c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</row>
    <row r="11" spans="1:61" hidden="1" x14ac:dyDescent="0.25">
      <c r="A11" s="2">
        <v>7600154</v>
      </c>
      <c r="B11" t="s">
        <v>74</v>
      </c>
      <c r="C11" s="2">
        <v>6012448025</v>
      </c>
      <c r="D11" s="5" t="s">
        <v>17</v>
      </c>
      <c r="E11" s="2">
        <v>12</v>
      </c>
      <c r="F11" s="2">
        <v>7</v>
      </c>
      <c r="G11" s="2" t="s">
        <v>5</v>
      </c>
      <c r="H11" s="2"/>
      <c r="I11" s="5" t="s">
        <v>6</v>
      </c>
      <c r="J11" s="3"/>
      <c r="K11" s="3">
        <f t="shared" si="2"/>
        <v>17500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>
        <v>17500</v>
      </c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</row>
    <row r="12" spans="1:61" hidden="1" x14ac:dyDescent="0.25">
      <c r="A12" s="2">
        <v>7622071</v>
      </c>
      <c r="B12" t="s">
        <v>77</v>
      </c>
      <c r="C12" s="2">
        <v>6012487213</v>
      </c>
      <c r="D12" s="5" t="s">
        <v>88</v>
      </c>
      <c r="E12" s="2">
        <v>12</v>
      </c>
      <c r="F12" s="2"/>
      <c r="G12" s="2" t="s">
        <v>5</v>
      </c>
      <c r="H12" s="2"/>
      <c r="I12" s="5" t="s">
        <v>6</v>
      </c>
      <c r="J12" s="3"/>
      <c r="K12" s="3">
        <f t="shared" si="2"/>
        <v>3750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>
        <v>3750</v>
      </c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</row>
    <row r="13" spans="1:61" hidden="1" x14ac:dyDescent="0.25">
      <c r="A13" s="2">
        <v>7692552</v>
      </c>
      <c r="B13" t="s">
        <v>23</v>
      </c>
      <c r="C13" s="2">
        <v>6012500183</v>
      </c>
      <c r="D13" s="5" t="s">
        <v>19</v>
      </c>
      <c r="E13" s="2">
        <v>9</v>
      </c>
      <c r="F13" s="2"/>
      <c r="G13" s="2" t="s">
        <v>5</v>
      </c>
      <c r="H13" s="2"/>
      <c r="I13" s="5" t="s">
        <v>6</v>
      </c>
      <c r="J13" s="3"/>
      <c r="K13" s="3">
        <f t="shared" si="2"/>
        <v>120000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>
        <v>60000</v>
      </c>
      <c r="AD13"/>
      <c r="AE13"/>
      <c r="AF13"/>
      <c r="AG13"/>
      <c r="AH13">
        <v>60000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</row>
    <row r="14" spans="1:61" hidden="1" x14ac:dyDescent="0.25">
      <c r="A14" s="2">
        <v>7692552</v>
      </c>
      <c r="B14" t="s">
        <v>65</v>
      </c>
      <c r="C14" s="2">
        <v>6012500180</v>
      </c>
      <c r="D14" s="5" t="s">
        <v>16</v>
      </c>
      <c r="E14" s="2">
        <v>9</v>
      </c>
      <c r="F14" s="2"/>
      <c r="G14" s="2" t="s">
        <v>5</v>
      </c>
      <c r="H14" s="2"/>
      <c r="I14" s="5" t="s">
        <v>6</v>
      </c>
      <c r="J14" s="3"/>
      <c r="K14" s="3">
        <f t="shared" si="2"/>
        <v>86250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>
        <v>86250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</row>
    <row r="15" spans="1:61" hidden="1" x14ac:dyDescent="0.25">
      <c r="A15" s="2">
        <v>7692552</v>
      </c>
      <c r="B15" t="s">
        <v>65</v>
      </c>
      <c r="C15" s="2">
        <v>6012500181</v>
      </c>
      <c r="D15" s="5" t="s">
        <v>16</v>
      </c>
      <c r="E15" s="2">
        <v>9</v>
      </c>
      <c r="F15" s="2"/>
      <c r="G15" s="2" t="s">
        <v>5</v>
      </c>
      <c r="H15" s="2"/>
      <c r="I15" s="5" t="s">
        <v>6</v>
      </c>
      <c r="J15" s="3"/>
      <c r="K15" s="3">
        <f t="shared" si="2"/>
        <v>150000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>
        <v>100000</v>
      </c>
      <c r="AC15"/>
      <c r="AD15"/>
      <c r="AE15"/>
      <c r="AF15"/>
      <c r="AG15"/>
      <c r="AH15"/>
      <c r="AI15"/>
      <c r="AJ15"/>
      <c r="AK15"/>
      <c r="AL15">
        <v>50000</v>
      </c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</row>
    <row r="16" spans="1:61" hidden="1" x14ac:dyDescent="0.25">
      <c r="A16" s="2">
        <v>7692557</v>
      </c>
      <c r="B16" t="s">
        <v>21</v>
      </c>
      <c r="C16" s="2">
        <v>6012499558</v>
      </c>
      <c r="D16" s="5" t="s">
        <v>66</v>
      </c>
      <c r="E16" s="2">
        <v>6</v>
      </c>
      <c r="F16" s="2"/>
      <c r="G16" s="2" t="s">
        <v>5</v>
      </c>
      <c r="H16" s="2"/>
      <c r="I16" s="5" t="s">
        <v>6</v>
      </c>
      <c r="J16" s="3"/>
      <c r="K16" s="3">
        <f t="shared" si="2"/>
        <v>1250</v>
      </c>
      <c r="L16"/>
      <c r="M16"/>
      <c r="N16"/>
      <c r="O16"/>
      <c r="P16"/>
      <c r="Q16"/>
      <c r="R16"/>
      <c r="S16"/>
      <c r="T16"/>
      <c r="U16"/>
      <c r="V16"/>
      <c r="W16"/>
      <c r="X16">
        <v>1250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</row>
    <row r="17" spans="1:61" hidden="1" x14ac:dyDescent="0.25">
      <c r="A17" s="2">
        <v>7692560</v>
      </c>
      <c r="B17" t="s">
        <v>26</v>
      </c>
      <c r="C17" s="2">
        <v>6012499557</v>
      </c>
      <c r="D17" s="5" t="s">
        <v>66</v>
      </c>
      <c r="E17" s="2">
        <v>12</v>
      </c>
      <c r="F17" s="2"/>
      <c r="G17" s="2" t="s">
        <v>5</v>
      </c>
      <c r="H17" s="2"/>
      <c r="I17" s="5" t="s">
        <v>6</v>
      </c>
      <c r="J17" s="3"/>
      <c r="K17" s="3">
        <f t="shared" si="2"/>
        <v>130000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>
        <v>40000</v>
      </c>
      <c r="AD17"/>
      <c r="AE17"/>
      <c r="AF17"/>
      <c r="AG17">
        <v>50000</v>
      </c>
      <c r="AH17"/>
      <c r="AI17"/>
      <c r="AJ17"/>
      <c r="AK17">
        <v>40000</v>
      </c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</row>
    <row r="18" spans="1:61" hidden="1" x14ac:dyDescent="0.25">
      <c r="A18" s="2">
        <v>7692560</v>
      </c>
      <c r="B18" t="s">
        <v>26</v>
      </c>
      <c r="C18" s="2">
        <v>6012499976</v>
      </c>
      <c r="D18" s="5" t="s">
        <v>27</v>
      </c>
      <c r="E18" s="2">
        <v>12</v>
      </c>
      <c r="F18" s="2"/>
      <c r="G18" s="2" t="s">
        <v>5</v>
      </c>
      <c r="H18" s="2"/>
      <c r="I18" s="5" t="s">
        <v>6</v>
      </c>
      <c r="J18" s="3"/>
      <c r="K18" s="3">
        <f t="shared" si="2"/>
        <v>75000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>
        <v>75000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</row>
    <row r="19" spans="1:61" hidden="1" x14ac:dyDescent="0.25">
      <c r="A19" s="2">
        <v>7692588</v>
      </c>
      <c r="B19" t="s">
        <v>68</v>
      </c>
      <c r="C19" s="2">
        <v>6012499777</v>
      </c>
      <c r="D19" s="5" t="s">
        <v>22</v>
      </c>
      <c r="E19" s="2">
        <v>9</v>
      </c>
      <c r="F19" s="2"/>
      <c r="G19" s="2" t="s">
        <v>5</v>
      </c>
      <c r="H19" s="2"/>
      <c r="I19" s="5" t="s">
        <v>6</v>
      </c>
      <c r="J19" s="3"/>
      <c r="K19" s="3">
        <f t="shared" si="2"/>
        <v>110000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>
        <v>20000</v>
      </c>
      <c r="AF19"/>
      <c r="AG19"/>
      <c r="AH19"/>
      <c r="AI19"/>
      <c r="AJ19"/>
      <c r="AK19"/>
      <c r="AL19"/>
      <c r="AM19"/>
      <c r="AN19"/>
      <c r="AO19"/>
      <c r="AP19">
        <v>20000</v>
      </c>
      <c r="AQ19"/>
      <c r="AR19"/>
      <c r="AS19"/>
      <c r="AT19"/>
      <c r="AU19"/>
      <c r="AV19"/>
      <c r="AW19">
        <v>30000</v>
      </c>
      <c r="AX19"/>
      <c r="AY19"/>
      <c r="AZ19"/>
      <c r="BA19"/>
      <c r="BB19"/>
      <c r="BC19"/>
      <c r="BD19">
        <v>40000</v>
      </c>
      <c r="BE19"/>
      <c r="BF19"/>
      <c r="BG19"/>
      <c r="BH19"/>
      <c r="BI19"/>
    </row>
    <row r="20" spans="1:61" hidden="1" x14ac:dyDescent="0.25">
      <c r="A20" s="2">
        <v>7692588</v>
      </c>
      <c r="B20" t="s">
        <v>68</v>
      </c>
      <c r="C20" s="2">
        <v>6012499815</v>
      </c>
      <c r="D20" s="5" t="s">
        <v>66</v>
      </c>
      <c r="E20" s="2">
        <v>9</v>
      </c>
      <c r="F20" s="2"/>
      <c r="G20" s="2" t="s">
        <v>5</v>
      </c>
      <c r="H20" s="2"/>
      <c r="I20" s="5" t="s">
        <v>6</v>
      </c>
      <c r="J20" s="3"/>
      <c r="K20" s="3">
        <f t="shared" si="2"/>
        <v>43750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>
        <v>13750</v>
      </c>
      <c r="AD20"/>
      <c r="AE20"/>
      <c r="AF20"/>
      <c r="AG20"/>
      <c r="AH20"/>
      <c r="AI20"/>
      <c r="AJ20"/>
      <c r="AK20">
        <v>30000</v>
      </c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</row>
    <row r="21" spans="1:61" hidden="1" x14ac:dyDescent="0.25">
      <c r="A21" s="2">
        <v>7692794</v>
      </c>
      <c r="B21" t="s">
        <v>49</v>
      </c>
      <c r="C21" s="2">
        <v>6012506029</v>
      </c>
      <c r="D21" s="5" t="s">
        <v>28</v>
      </c>
      <c r="E21" s="2">
        <v>9</v>
      </c>
      <c r="F21" s="2"/>
      <c r="G21" s="2" t="s">
        <v>5</v>
      </c>
      <c r="H21" s="2"/>
      <c r="I21" s="5" t="s">
        <v>6</v>
      </c>
      <c r="J21" s="3"/>
      <c r="K21" s="3">
        <f t="shared" si="2"/>
        <v>45000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>
        <v>45000</v>
      </c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</row>
    <row r="22" spans="1:61" hidden="1" x14ac:dyDescent="0.25">
      <c r="A22" s="2">
        <v>7692794</v>
      </c>
      <c r="B22" t="s">
        <v>69</v>
      </c>
      <c r="C22" s="2">
        <v>6012505051</v>
      </c>
      <c r="D22" s="5" t="s">
        <v>52</v>
      </c>
      <c r="E22" s="2">
        <v>9</v>
      </c>
      <c r="F22" s="2"/>
      <c r="G22" s="2" t="s">
        <v>5</v>
      </c>
      <c r="H22" s="2"/>
      <c r="I22" s="5" t="s">
        <v>6</v>
      </c>
      <c r="J22" s="3"/>
      <c r="K22" s="3">
        <f t="shared" si="2"/>
        <v>110000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>
        <v>55000</v>
      </c>
      <c r="AB22"/>
      <c r="AC22"/>
      <c r="AD22"/>
      <c r="AE22"/>
      <c r="AF22"/>
      <c r="AG22">
        <v>55000</v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</row>
    <row r="23" spans="1:61" hidden="1" x14ac:dyDescent="0.25">
      <c r="A23" s="2">
        <v>7692793</v>
      </c>
      <c r="B23" t="s">
        <v>51</v>
      </c>
      <c r="C23" s="2">
        <v>6012505057</v>
      </c>
      <c r="D23" s="5" t="s">
        <v>52</v>
      </c>
      <c r="E23" s="2">
        <v>9</v>
      </c>
      <c r="F23" s="2"/>
      <c r="G23" s="2" t="s">
        <v>5</v>
      </c>
      <c r="H23" s="2"/>
      <c r="I23" s="5" t="s">
        <v>6</v>
      </c>
      <c r="J23" s="3"/>
      <c r="K23" s="3">
        <f t="shared" si="2"/>
        <v>110000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>
        <v>110000</v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</row>
    <row r="24" spans="1:61" hidden="1" x14ac:dyDescent="0.25">
      <c r="A24" s="2">
        <v>7692793</v>
      </c>
      <c r="B24" t="s">
        <v>51</v>
      </c>
      <c r="C24" s="2">
        <v>6012506020</v>
      </c>
      <c r="D24" s="5" t="s">
        <v>52</v>
      </c>
      <c r="E24" s="2">
        <v>9</v>
      </c>
      <c r="F24" s="2"/>
      <c r="G24" s="2" t="s">
        <v>5</v>
      </c>
      <c r="H24" s="2"/>
      <c r="I24" s="5" t="s">
        <v>6</v>
      </c>
      <c r="J24" s="3"/>
      <c r="K24" s="3">
        <f t="shared" si="2"/>
        <v>91250</v>
      </c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>
        <v>36250</v>
      </c>
      <c r="AB24"/>
      <c r="AC24"/>
      <c r="AD24"/>
      <c r="AE24"/>
      <c r="AF24"/>
      <c r="AG24"/>
      <c r="AH24"/>
      <c r="AI24"/>
      <c r="AJ24"/>
      <c r="AK24">
        <v>55000</v>
      </c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</row>
    <row r="25" spans="1:61" hidden="1" x14ac:dyDescent="0.25">
      <c r="A25" s="2">
        <v>7692795</v>
      </c>
      <c r="B25" t="s">
        <v>30</v>
      </c>
      <c r="C25" s="2">
        <v>6012505975</v>
      </c>
      <c r="D25" s="5" t="s">
        <v>28</v>
      </c>
      <c r="E25" s="2">
        <v>9</v>
      </c>
      <c r="F25" s="2"/>
      <c r="G25" s="2" t="s">
        <v>5</v>
      </c>
      <c r="H25" s="2"/>
      <c r="I25" s="5" t="s">
        <v>6</v>
      </c>
      <c r="J25" s="3"/>
      <c r="K25" s="3">
        <f t="shared" si="2"/>
        <v>137500</v>
      </c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>
        <v>82500</v>
      </c>
      <c r="AE25"/>
      <c r="AF25"/>
      <c r="AG25"/>
      <c r="AH25"/>
      <c r="AI25"/>
      <c r="AJ25">
        <v>55000</v>
      </c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</row>
    <row r="26" spans="1:61" hidden="1" x14ac:dyDescent="0.25">
      <c r="A26" s="2">
        <v>7692795</v>
      </c>
      <c r="B26" t="s">
        <v>70</v>
      </c>
      <c r="C26" s="2">
        <v>6012505426</v>
      </c>
      <c r="D26" s="5" t="s">
        <v>32</v>
      </c>
      <c r="E26" s="2">
        <v>9</v>
      </c>
      <c r="F26" s="2"/>
      <c r="G26" s="2" t="s">
        <v>5</v>
      </c>
      <c r="H26" s="2"/>
      <c r="I26" s="5" t="s">
        <v>6</v>
      </c>
      <c r="J26" s="3"/>
      <c r="K26" s="3">
        <f t="shared" si="2"/>
        <v>82500</v>
      </c>
      <c r="L26"/>
      <c r="M26"/>
      <c r="N26"/>
      <c r="O26"/>
      <c r="P26"/>
      <c r="Q26"/>
      <c r="R26"/>
      <c r="S26"/>
      <c r="T26"/>
      <c r="U26"/>
      <c r="V26"/>
      <c r="W26"/>
      <c r="X26"/>
      <c r="Y26">
        <v>82500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</row>
    <row r="27" spans="1:61" hidden="1" x14ac:dyDescent="0.25">
      <c r="A27" s="2">
        <v>7692795</v>
      </c>
      <c r="B27" t="s">
        <v>70</v>
      </c>
      <c r="C27" s="2">
        <v>6012505427</v>
      </c>
      <c r="D27" s="5" t="s">
        <v>32</v>
      </c>
      <c r="E27" s="2">
        <v>9</v>
      </c>
      <c r="F27" s="2"/>
      <c r="G27" s="2" t="s">
        <v>5</v>
      </c>
      <c r="H27" s="2"/>
      <c r="I27" s="5" t="s">
        <v>6</v>
      </c>
      <c r="J27" s="3"/>
      <c r="K27" s="3">
        <f t="shared" si="2"/>
        <v>247500</v>
      </c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>
        <v>82500</v>
      </c>
      <c r="AB27"/>
      <c r="AC27"/>
      <c r="AD27"/>
      <c r="AE27">
        <v>82500</v>
      </c>
      <c r="AF27"/>
      <c r="AG27"/>
      <c r="AH27"/>
      <c r="AI27"/>
      <c r="AJ27">
        <v>82500</v>
      </c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</row>
    <row r="28" spans="1:61" hidden="1" x14ac:dyDescent="0.25">
      <c r="A28" s="2">
        <v>7692795</v>
      </c>
      <c r="B28" t="s">
        <v>70</v>
      </c>
      <c r="C28" s="2">
        <v>6012505770</v>
      </c>
      <c r="D28" s="5" t="s">
        <v>32</v>
      </c>
      <c r="E28" s="2">
        <v>9</v>
      </c>
      <c r="F28" s="2"/>
      <c r="G28" s="2" t="s">
        <v>5</v>
      </c>
      <c r="H28" s="2"/>
      <c r="I28" s="5" t="s">
        <v>6</v>
      </c>
      <c r="J28" s="3"/>
      <c r="K28" s="3">
        <f t="shared" si="2"/>
        <v>220000</v>
      </c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>
        <v>82500</v>
      </c>
      <c r="AD28"/>
      <c r="AE28"/>
      <c r="AF28"/>
      <c r="AG28">
        <v>82500</v>
      </c>
      <c r="AH28"/>
      <c r="AI28"/>
      <c r="AJ28"/>
      <c r="AK28"/>
      <c r="AL28">
        <v>55000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</row>
    <row r="29" spans="1:61" hidden="1" x14ac:dyDescent="0.25">
      <c r="A29" s="2">
        <v>7692731</v>
      </c>
      <c r="B29" t="s">
        <v>72</v>
      </c>
      <c r="C29" s="2">
        <v>6012500733</v>
      </c>
      <c r="D29" s="5" t="s">
        <v>63</v>
      </c>
      <c r="E29" s="2">
        <v>4</v>
      </c>
      <c r="F29" s="2"/>
      <c r="G29" s="2" t="s">
        <v>5</v>
      </c>
      <c r="H29" s="2"/>
      <c r="I29" s="5" t="s">
        <v>6</v>
      </c>
      <c r="J29" s="3"/>
      <c r="K29" s="3">
        <f t="shared" si="2"/>
        <v>17500</v>
      </c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>
        <v>2500</v>
      </c>
      <c r="AB29"/>
      <c r="AC29"/>
      <c r="AD29"/>
      <c r="AE29"/>
      <c r="AF29"/>
      <c r="AG29"/>
      <c r="AH29">
        <v>15000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</row>
    <row r="30" spans="1:61" hidden="1" x14ac:dyDescent="0.25">
      <c r="A30" s="2">
        <v>7600125</v>
      </c>
      <c r="B30" t="s">
        <v>73</v>
      </c>
      <c r="C30" s="2">
        <v>6012506320</v>
      </c>
      <c r="D30" s="5" t="s">
        <v>78</v>
      </c>
      <c r="E30" s="2">
        <v>6</v>
      </c>
      <c r="F30" s="2"/>
      <c r="G30" s="2" t="s">
        <v>5</v>
      </c>
      <c r="H30" s="2"/>
      <c r="I30" s="5" t="s">
        <v>6</v>
      </c>
      <c r="J30" s="3"/>
      <c r="K30" s="3">
        <f t="shared" si="2"/>
        <v>113750</v>
      </c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>
        <v>113750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</row>
    <row r="31" spans="1:61" hidden="1" x14ac:dyDescent="0.25">
      <c r="A31" s="2">
        <v>7600154</v>
      </c>
      <c r="B31" t="s">
        <v>74</v>
      </c>
      <c r="C31" s="2">
        <v>6012506417</v>
      </c>
      <c r="D31" s="5" t="s">
        <v>17</v>
      </c>
      <c r="E31" s="2">
        <v>12</v>
      </c>
      <c r="F31" s="2"/>
      <c r="G31" s="2" t="s">
        <v>5</v>
      </c>
      <c r="H31" s="2"/>
      <c r="I31" s="5" t="s">
        <v>6</v>
      </c>
      <c r="J31" s="3"/>
      <c r="K31" s="3">
        <f t="shared" si="2"/>
        <v>50000</v>
      </c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>
        <v>50000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</row>
    <row r="32" spans="1:61" hidden="1" x14ac:dyDescent="0.25">
      <c r="A32" s="2">
        <v>7600154</v>
      </c>
      <c r="B32" t="s">
        <v>74</v>
      </c>
      <c r="C32" s="2">
        <v>6012506528</v>
      </c>
      <c r="D32" s="5" t="s">
        <v>17</v>
      </c>
      <c r="E32" s="2">
        <v>12</v>
      </c>
      <c r="F32" s="2"/>
      <c r="G32" s="2" t="s">
        <v>5</v>
      </c>
      <c r="H32" s="2"/>
      <c r="I32" s="5" t="s">
        <v>6</v>
      </c>
      <c r="J32" s="3"/>
      <c r="K32" s="3">
        <f t="shared" si="2"/>
        <v>60000</v>
      </c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>
        <v>60000</v>
      </c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</row>
    <row r="33" spans="1:61" hidden="1" x14ac:dyDescent="0.25">
      <c r="A33" s="2">
        <v>7600154</v>
      </c>
      <c r="B33" t="s">
        <v>75</v>
      </c>
      <c r="C33" s="2">
        <v>6012506418</v>
      </c>
      <c r="D33" s="5" t="s">
        <v>17</v>
      </c>
      <c r="E33" s="2">
        <v>12</v>
      </c>
      <c r="F33" s="2"/>
      <c r="G33" s="2" t="s">
        <v>5</v>
      </c>
      <c r="H33" s="2"/>
      <c r="I33" s="5" t="s">
        <v>6</v>
      </c>
      <c r="J33" s="3"/>
      <c r="K33" s="3">
        <f t="shared" si="2"/>
        <v>80000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>
        <v>80000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</row>
    <row r="34" spans="1:61" x14ac:dyDescent="0.25">
      <c r="A34" s="2">
        <v>7692793</v>
      </c>
      <c r="B34" t="s">
        <v>76</v>
      </c>
      <c r="C34" s="2">
        <v>6012505647</v>
      </c>
      <c r="D34" s="5" t="s">
        <v>79</v>
      </c>
      <c r="E34" s="2">
        <v>9</v>
      </c>
      <c r="F34" s="2"/>
      <c r="G34" s="2" t="s">
        <v>5</v>
      </c>
      <c r="H34" s="2"/>
      <c r="I34" s="5" t="s">
        <v>6</v>
      </c>
      <c r="J34" s="3"/>
      <c r="K34" s="3">
        <f t="shared" si="2"/>
        <v>81250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>
        <v>81250</v>
      </c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</row>
    <row r="35" spans="1:61" x14ac:dyDescent="0.25">
      <c r="A35" s="2">
        <v>7692793</v>
      </c>
      <c r="B35" t="s">
        <v>76</v>
      </c>
      <c r="C35" s="2">
        <v>6012505977</v>
      </c>
      <c r="D35" s="5" t="s">
        <v>79</v>
      </c>
      <c r="E35" s="2">
        <v>9</v>
      </c>
      <c r="F35" s="2"/>
      <c r="G35" s="2" t="s">
        <v>5</v>
      </c>
      <c r="H35" s="2"/>
      <c r="I35" s="5" t="s">
        <v>6</v>
      </c>
      <c r="J35" s="3"/>
      <c r="K35" s="3">
        <f t="shared" si="2"/>
        <v>107500</v>
      </c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>
        <v>107500</v>
      </c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</row>
    <row r="36" spans="1:61" hidden="1" x14ac:dyDescent="0.25">
      <c r="A36" s="2">
        <v>7622071</v>
      </c>
      <c r="B36" t="s">
        <v>82</v>
      </c>
      <c r="C36" s="2">
        <v>6012507720</v>
      </c>
      <c r="D36" s="5" t="s">
        <v>80</v>
      </c>
      <c r="E36" s="2">
        <v>12</v>
      </c>
      <c r="F36" s="2"/>
      <c r="G36" s="2" t="s">
        <v>5</v>
      </c>
      <c r="H36" s="2"/>
      <c r="I36" s="5" t="s">
        <v>6</v>
      </c>
      <c r="J36" s="3"/>
      <c r="K36" s="3">
        <f t="shared" si="2"/>
        <v>175000</v>
      </c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>
        <v>2500</v>
      </c>
      <c r="AC36"/>
      <c r="AD36"/>
      <c r="AE36">
        <v>57500</v>
      </c>
      <c r="AF36"/>
      <c r="AG36"/>
      <c r="AH36">
        <v>57500</v>
      </c>
      <c r="AI36"/>
      <c r="AJ36"/>
      <c r="AK36">
        <v>57500</v>
      </c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</row>
    <row r="37" spans="1:61" hidden="1" x14ac:dyDescent="0.25">
      <c r="A37" s="2">
        <v>7600152</v>
      </c>
      <c r="B37" t="s">
        <v>71</v>
      </c>
      <c r="C37" s="2">
        <v>6012507174</v>
      </c>
      <c r="D37" s="5" t="s">
        <v>24</v>
      </c>
      <c r="E37" s="2">
        <v>9</v>
      </c>
      <c r="F37" s="2"/>
      <c r="G37" s="2" t="s">
        <v>5</v>
      </c>
      <c r="H37" s="2"/>
      <c r="I37" s="5" t="s">
        <v>6</v>
      </c>
      <c r="J37" s="3"/>
      <c r="K37" s="3">
        <f t="shared" si="2"/>
        <v>150000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>
        <v>150000</v>
      </c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</row>
    <row r="38" spans="1:61" hidden="1" x14ac:dyDescent="0.25">
      <c r="A38" s="2">
        <v>7692912</v>
      </c>
      <c r="B38" t="s">
        <v>54</v>
      </c>
      <c r="C38" s="2">
        <v>6012513746</v>
      </c>
      <c r="D38" s="5" t="s">
        <v>55</v>
      </c>
      <c r="E38" s="2">
        <v>4</v>
      </c>
      <c r="F38" s="2"/>
      <c r="G38" s="2" t="s">
        <v>5</v>
      </c>
      <c r="H38" s="2"/>
      <c r="I38" s="5" t="s">
        <v>29</v>
      </c>
      <c r="J38" s="3"/>
      <c r="K38" s="3">
        <f t="shared" si="2"/>
        <v>41450</v>
      </c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>
        <v>6450</v>
      </c>
      <c r="AA38"/>
      <c r="AB38"/>
      <c r="AC38"/>
      <c r="AD38"/>
      <c r="AE38"/>
      <c r="AF38"/>
      <c r="AG38">
        <v>15000</v>
      </c>
      <c r="AH38"/>
      <c r="AI38"/>
      <c r="AJ38"/>
      <c r="AK38"/>
      <c r="AL38"/>
      <c r="AM38"/>
      <c r="AN38">
        <v>20000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</row>
    <row r="39" spans="1:61" hidden="1" x14ac:dyDescent="0.25">
      <c r="A39" s="2">
        <v>7692912</v>
      </c>
      <c r="B39" t="s">
        <v>54</v>
      </c>
      <c r="C39" s="2">
        <v>6012514363</v>
      </c>
      <c r="D39" s="5" t="s">
        <v>55</v>
      </c>
      <c r="E39" s="2">
        <v>4</v>
      </c>
      <c r="F39" s="2"/>
      <c r="G39" s="2" t="s">
        <v>5</v>
      </c>
      <c r="H39" s="2"/>
      <c r="I39" s="5" t="s">
        <v>29</v>
      </c>
      <c r="J39" s="3"/>
      <c r="K39" s="3">
        <f t="shared" si="2"/>
        <v>65000</v>
      </c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>
        <v>15000</v>
      </c>
      <c r="AV39"/>
      <c r="AW39"/>
      <c r="AX39"/>
      <c r="AY39"/>
      <c r="AZ39"/>
      <c r="BA39"/>
      <c r="BB39">
        <v>20000</v>
      </c>
      <c r="BC39"/>
      <c r="BD39"/>
      <c r="BE39"/>
      <c r="BF39"/>
      <c r="BG39"/>
      <c r="BH39"/>
      <c r="BI39">
        <v>30000</v>
      </c>
    </row>
    <row r="40" spans="1:61" hidden="1" x14ac:dyDescent="0.25">
      <c r="A40" s="2">
        <v>7692912</v>
      </c>
      <c r="B40" t="s">
        <v>85</v>
      </c>
      <c r="C40" s="2">
        <v>6012513744</v>
      </c>
      <c r="D40" s="5" t="s">
        <v>55</v>
      </c>
      <c r="E40" s="2">
        <v>4</v>
      </c>
      <c r="F40" s="2"/>
      <c r="G40" s="2" t="s">
        <v>5</v>
      </c>
      <c r="H40" s="2"/>
      <c r="I40" s="5" t="s">
        <v>6</v>
      </c>
      <c r="J40" s="3"/>
      <c r="K40" s="3">
        <f t="shared" si="2"/>
        <v>5000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O40"/>
      <c r="AP40"/>
      <c r="AQ40"/>
      <c r="AR40"/>
      <c r="AS40"/>
      <c r="AT40"/>
      <c r="AU40">
        <v>5000</v>
      </c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</row>
    <row r="41" spans="1:61" hidden="1" x14ac:dyDescent="0.25">
      <c r="A41" s="2">
        <v>7692798</v>
      </c>
      <c r="B41" t="s">
        <v>86</v>
      </c>
      <c r="C41" s="2">
        <v>6012519405</v>
      </c>
      <c r="D41" s="5" t="s">
        <v>87</v>
      </c>
      <c r="E41" s="2">
        <v>9</v>
      </c>
      <c r="F41" s="2"/>
      <c r="G41" s="2" t="s">
        <v>20</v>
      </c>
      <c r="H41" s="2"/>
      <c r="I41" s="5" t="s">
        <v>6</v>
      </c>
      <c r="J41" s="3"/>
      <c r="K41" s="3">
        <f t="shared" si="2"/>
        <v>125000</v>
      </c>
      <c r="L41"/>
      <c r="M41"/>
      <c r="N41"/>
      <c r="O41"/>
      <c r="P41"/>
      <c r="Q41"/>
      <c r="R41"/>
      <c r="S41"/>
      <c r="T41"/>
      <c r="U41"/>
      <c r="V41">
        <v>125000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</row>
    <row r="42" spans="1:61" hidden="1" x14ac:dyDescent="0.25">
      <c r="A42" s="2">
        <v>7622071</v>
      </c>
      <c r="B42" t="s">
        <v>77</v>
      </c>
      <c r="C42" s="2">
        <v>6012518378</v>
      </c>
      <c r="D42" s="5" t="s">
        <v>88</v>
      </c>
      <c r="E42" s="2">
        <v>12</v>
      </c>
      <c r="F42" s="2"/>
      <c r="G42" s="2" t="s">
        <v>5</v>
      </c>
      <c r="H42" s="2"/>
      <c r="I42" s="5" t="s">
        <v>6</v>
      </c>
      <c r="J42" s="3"/>
      <c r="K42" s="3">
        <f t="shared" si="2"/>
        <v>180000</v>
      </c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>
        <v>60000</v>
      </c>
      <c r="AP42"/>
      <c r="AQ42"/>
      <c r="AR42"/>
      <c r="AS42">
        <v>60000</v>
      </c>
      <c r="AT42"/>
      <c r="AU42"/>
      <c r="AV42"/>
      <c r="AW42">
        <v>60000</v>
      </c>
      <c r="AX42"/>
      <c r="AY42"/>
      <c r="AZ42"/>
      <c r="BA42"/>
      <c r="BB42"/>
      <c r="BC42"/>
      <c r="BD42"/>
      <c r="BE42"/>
      <c r="BF42"/>
      <c r="BG42"/>
      <c r="BH42"/>
      <c r="BI42"/>
    </row>
    <row r="43" spans="1:61" hidden="1" x14ac:dyDescent="0.25">
      <c r="A43" s="2">
        <v>7600128</v>
      </c>
      <c r="B43" t="s">
        <v>89</v>
      </c>
      <c r="C43" s="2">
        <v>6012519069</v>
      </c>
      <c r="D43" s="5" t="s">
        <v>25</v>
      </c>
      <c r="E43" s="2">
        <v>12</v>
      </c>
      <c r="F43" s="2"/>
      <c r="G43" s="2" t="s">
        <v>5</v>
      </c>
      <c r="H43" s="2"/>
      <c r="I43" s="5" t="s">
        <v>6</v>
      </c>
      <c r="J43" s="3"/>
      <c r="K43" s="3">
        <f t="shared" si="2"/>
        <v>150000</v>
      </c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>
        <v>150000</v>
      </c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</row>
    <row r="44" spans="1:61" hidden="1" x14ac:dyDescent="0.25">
      <c r="A44" s="2">
        <v>7600128</v>
      </c>
      <c r="B44" t="s">
        <v>89</v>
      </c>
      <c r="C44" s="2">
        <v>6012519074</v>
      </c>
      <c r="D44" s="5" t="s">
        <v>25</v>
      </c>
      <c r="E44" s="2">
        <v>12</v>
      </c>
      <c r="F44" s="2"/>
      <c r="G44" s="2" t="s">
        <v>5</v>
      </c>
      <c r="H44" s="2"/>
      <c r="I44" s="5" t="s">
        <v>6</v>
      </c>
      <c r="J44" s="3"/>
      <c r="K44" s="3">
        <f t="shared" si="2"/>
        <v>150000</v>
      </c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>
        <v>150000</v>
      </c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</row>
    <row r="45" spans="1:61" hidden="1" x14ac:dyDescent="0.25">
      <c r="A45" s="2">
        <v>7692794</v>
      </c>
      <c r="B45" t="s">
        <v>92</v>
      </c>
      <c r="C45" s="2">
        <v>6012523034</v>
      </c>
      <c r="D45" s="5" t="s">
        <v>48</v>
      </c>
      <c r="E45" s="2">
        <v>9</v>
      </c>
      <c r="F45" s="2"/>
      <c r="G45" s="2" t="s">
        <v>5</v>
      </c>
      <c r="H45" s="2"/>
      <c r="I45" s="5" t="s">
        <v>6</v>
      </c>
      <c r="J45" s="3"/>
      <c r="K45" s="3">
        <f t="shared" si="2"/>
        <v>51250</v>
      </c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>
        <v>51250</v>
      </c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</row>
    <row r="46" spans="1:61" hidden="1" x14ac:dyDescent="0.25">
      <c r="A46" s="2">
        <v>7692782</v>
      </c>
      <c r="B46" t="s">
        <v>62</v>
      </c>
      <c r="C46" s="2">
        <v>6012523665</v>
      </c>
      <c r="D46" s="5" t="s">
        <v>31</v>
      </c>
      <c r="E46" s="2">
        <v>9</v>
      </c>
      <c r="F46" s="2"/>
      <c r="G46" s="2" t="s">
        <v>5</v>
      </c>
      <c r="H46" s="2"/>
      <c r="I46" s="5" t="s">
        <v>6</v>
      </c>
      <c r="J46" s="3"/>
      <c r="K46" s="3">
        <f t="shared" si="2"/>
        <v>6250</v>
      </c>
      <c r="L46"/>
      <c r="M46"/>
      <c r="N46"/>
      <c r="O46"/>
      <c r="P46"/>
      <c r="Q46"/>
      <c r="R46"/>
      <c r="S46"/>
      <c r="T46"/>
      <c r="U46"/>
      <c r="V46"/>
      <c r="W46">
        <v>6250</v>
      </c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</row>
    <row r="47" spans="1:61" hidden="1" x14ac:dyDescent="0.25">
      <c r="A47" s="2">
        <v>7692598</v>
      </c>
      <c r="B47" t="s">
        <v>93</v>
      </c>
      <c r="C47" s="2">
        <v>6012519599</v>
      </c>
      <c r="D47" s="5" t="s">
        <v>17</v>
      </c>
      <c r="E47" s="2">
        <v>12</v>
      </c>
      <c r="F47" s="2"/>
      <c r="G47" s="2" t="s">
        <v>20</v>
      </c>
      <c r="H47" s="2"/>
      <c r="I47" s="5" t="s">
        <v>6</v>
      </c>
      <c r="J47" s="3"/>
      <c r="K47" s="3">
        <f t="shared" si="2"/>
        <v>22500</v>
      </c>
      <c r="L47"/>
      <c r="M47"/>
      <c r="N47"/>
      <c r="O47"/>
      <c r="P47"/>
      <c r="Q47"/>
      <c r="R47"/>
      <c r="S47"/>
      <c r="T47">
        <v>22500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</row>
    <row r="48" spans="1:61" hidden="1" x14ac:dyDescent="0.25">
      <c r="A48" s="2">
        <v>7692598</v>
      </c>
      <c r="B48" t="s">
        <v>94</v>
      </c>
      <c r="C48" s="2">
        <v>6012519600</v>
      </c>
      <c r="D48" s="5" t="s">
        <v>17</v>
      </c>
      <c r="E48" s="2">
        <v>12</v>
      </c>
      <c r="F48" s="2"/>
      <c r="G48" s="2" t="s">
        <v>20</v>
      </c>
      <c r="H48" s="2"/>
      <c r="I48" s="5" t="s">
        <v>6</v>
      </c>
      <c r="J48" s="3"/>
      <c r="K48" s="3">
        <f t="shared" si="2"/>
        <v>76250</v>
      </c>
      <c r="L48"/>
      <c r="M48"/>
      <c r="N48"/>
      <c r="O48"/>
      <c r="P48"/>
      <c r="Q48"/>
      <c r="R48"/>
      <c r="S48"/>
      <c r="T48">
        <v>50000</v>
      </c>
      <c r="U48"/>
      <c r="V48"/>
      <c r="W48">
        <v>26250</v>
      </c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</row>
    <row r="49" spans="1:61" hidden="1" x14ac:dyDescent="0.25">
      <c r="A49" s="2">
        <v>7692561</v>
      </c>
      <c r="B49" t="s">
        <v>95</v>
      </c>
      <c r="C49" s="2">
        <v>6012525541</v>
      </c>
      <c r="D49" s="5" t="s">
        <v>67</v>
      </c>
      <c r="E49" s="2">
        <v>4</v>
      </c>
      <c r="F49" s="2"/>
      <c r="G49" s="2" t="s">
        <v>20</v>
      </c>
      <c r="H49" s="2"/>
      <c r="I49" s="5" t="s">
        <v>6</v>
      </c>
      <c r="J49" s="3"/>
      <c r="K49" s="3">
        <f t="shared" si="2"/>
        <v>11250</v>
      </c>
      <c r="L49">
        <v>11250</v>
      </c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</row>
    <row r="50" spans="1:61" hidden="1" x14ac:dyDescent="0.25">
      <c r="A50" s="2">
        <v>7692563</v>
      </c>
      <c r="B50" t="s">
        <v>96</v>
      </c>
      <c r="C50" s="2">
        <v>6012525944</v>
      </c>
      <c r="D50" s="5" t="s">
        <v>67</v>
      </c>
      <c r="E50" s="2">
        <v>6</v>
      </c>
      <c r="F50" s="2"/>
      <c r="G50" s="2" t="s">
        <v>20</v>
      </c>
      <c r="H50" s="2"/>
      <c r="I50" s="5" t="s">
        <v>6</v>
      </c>
      <c r="J50" s="3"/>
      <c r="K50" s="3">
        <f t="shared" si="2"/>
        <v>33750</v>
      </c>
      <c r="L50">
        <v>33750</v>
      </c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</row>
    <row r="51" spans="1:61" hidden="1" x14ac:dyDescent="0.25">
      <c r="A51" s="2">
        <v>7692782</v>
      </c>
      <c r="B51" t="s">
        <v>103</v>
      </c>
      <c r="C51" s="2">
        <v>6012531204</v>
      </c>
      <c r="D51" s="5" t="s">
        <v>31</v>
      </c>
      <c r="E51" s="2">
        <v>9</v>
      </c>
      <c r="F51" s="2"/>
      <c r="G51" s="2" t="s">
        <v>5</v>
      </c>
      <c r="H51" s="2"/>
      <c r="I51" s="5" t="s">
        <v>6</v>
      </c>
      <c r="J51" s="3"/>
      <c r="K51" s="3">
        <f t="shared" si="2"/>
        <v>136250</v>
      </c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>
        <v>26250</v>
      </c>
      <c r="AB51"/>
      <c r="AC51"/>
      <c r="AD51"/>
      <c r="AE51"/>
      <c r="AF51"/>
      <c r="AG51"/>
      <c r="AH51"/>
      <c r="AI51"/>
      <c r="AJ51"/>
      <c r="AK51"/>
      <c r="AL51">
        <v>50000</v>
      </c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>
        <v>60000</v>
      </c>
      <c r="BD51"/>
      <c r="BE51"/>
      <c r="BF51"/>
      <c r="BG51"/>
      <c r="BH51"/>
      <c r="BI51"/>
    </row>
    <row r="52" spans="1:61" hidden="1" x14ac:dyDescent="0.25">
      <c r="A52" s="2">
        <v>7692782</v>
      </c>
      <c r="B52" t="s">
        <v>103</v>
      </c>
      <c r="C52" s="2">
        <v>6012531936</v>
      </c>
      <c r="D52" s="5" t="s">
        <v>31</v>
      </c>
      <c r="E52" s="2">
        <v>9</v>
      </c>
      <c r="F52" s="2"/>
      <c r="G52" s="2" t="s">
        <v>5</v>
      </c>
      <c r="H52" s="2"/>
      <c r="I52" s="5" t="s">
        <v>6</v>
      </c>
      <c r="J52" s="3"/>
      <c r="K52" s="3">
        <f t="shared" si="2"/>
        <v>110000</v>
      </c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>
        <v>50000</v>
      </c>
      <c r="AT52"/>
      <c r="AU52"/>
      <c r="AV52"/>
      <c r="AW52"/>
      <c r="AX52"/>
      <c r="AY52"/>
      <c r="AZ52">
        <v>60000</v>
      </c>
      <c r="BA52"/>
      <c r="BB52"/>
      <c r="BC52"/>
      <c r="BD52"/>
      <c r="BE52"/>
      <c r="BF52"/>
      <c r="BG52"/>
      <c r="BH52"/>
      <c r="BI52"/>
    </row>
    <row r="53" spans="1:61" hidden="1" x14ac:dyDescent="0.25">
      <c r="A53" s="2">
        <v>7692924</v>
      </c>
      <c r="B53" t="s">
        <v>83</v>
      </c>
      <c r="C53" s="2">
        <v>6012529023</v>
      </c>
      <c r="D53" s="5" t="s">
        <v>84</v>
      </c>
      <c r="E53" s="2">
        <v>12</v>
      </c>
      <c r="F53" s="2"/>
      <c r="G53" s="2" t="s">
        <v>20</v>
      </c>
      <c r="H53" s="2"/>
      <c r="I53" s="5" t="s">
        <v>6</v>
      </c>
      <c r="J53" s="3"/>
      <c r="K53" s="3">
        <f t="shared" si="2"/>
        <v>115000</v>
      </c>
      <c r="L53"/>
      <c r="M53"/>
      <c r="N53">
        <v>115000</v>
      </c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</row>
    <row r="54" spans="1:61" hidden="1" x14ac:dyDescent="0.25">
      <c r="A54" s="2">
        <v>7662013</v>
      </c>
      <c r="B54" t="s">
        <v>100</v>
      </c>
      <c r="C54" s="2">
        <v>6012536782</v>
      </c>
      <c r="D54" s="5" t="s">
        <v>98</v>
      </c>
      <c r="E54" s="2">
        <v>6</v>
      </c>
      <c r="F54" s="2"/>
      <c r="G54" s="2" t="s">
        <v>5</v>
      </c>
      <c r="H54" s="2"/>
      <c r="I54" s="5" t="s">
        <v>29</v>
      </c>
      <c r="J54" s="3"/>
      <c r="K54" s="3">
        <f t="shared" si="2"/>
        <v>46000</v>
      </c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>
        <v>46000</v>
      </c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</row>
    <row r="55" spans="1:61" hidden="1" x14ac:dyDescent="0.25">
      <c r="A55" s="2">
        <v>7662014</v>
      </c>
      <c r="B55" t="s">
        <v>101</v>
      </c>
      <c r="C55" s="2">
        <v>6012537930</v>
      </c>
      <c r="D55" s="5" t="s">
        <v>98</v>
      </c>
      <c r="E55" s="2">
        <v>9</v>
      </c>
      <c r="F55" s="2"/>
      <c r="G55" s="2" t="s">
        <v>5</v>
      </c>
      <c r="H55" s="2"/>
      <c r="I55" s="5" t="s">
        <v>29</v>
      </c>
      <c r="J55" s="3"/>
      <c r="K55" s="3">
        <f t="shared" ref="K55:K64" si="3">SUM(L55:BI55)</f>
        <v>78000</v>
      </c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>
        <v>78000</v>
      </c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</row>
    <row r="56" spans="1:61" hidden="1" x14ac:dyDescent="0.25">
      <c r="A56" s="2">
        <v>7662011</v>
      </c>
      <c r="B56" t="s">
        <v>99</v>
      </c>
      <c r="C56" s="2">
        <v>6012537985</v>
      </c>
      <c r="D56" s="5" t="s">
        <v>98</v>
      </c>
      <c r="E56" s="2">
        <v>3</v>
      </c>
      <c r="F56" s="2"/>
      <c r="G56" s="2" t="s">
        <v>5</v>
      </c>
      <c r="H56" s="2"/>
      <c r="I56" s="5" t="s">
        <v>29</v>
      </c>
      <c r="J56" s="3"/>
      <c r="K56" s="3">
        <f t="shared" si="3"/>
        <v>6000</v>
      </c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>
        <v>6000</v>
      </c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</row>
    <row r="57" spans="1:61" hidden="1" x14ac:dyDescent="0.25">
      <c r="A57" s="2">
        <v>7692560</v>
      </c>
      <c r="B57" t="s">
        <v>104</v>
      </c>
      <c r="C57" s="2">
        <v>6012538465</v>
      </c>
      <c r="D57" s="5" t="s">
        <v>105</v>
      </c>
      <c r="E57" s="2">
        <v>12</v>
      </c>
      <c r="F57" s="2"/>
      <c r="G57" s="2" t="s">
        <v>5</v>
      </c>
      <c r="H57" s="2"/>
      <c r="I57" s="5" t="s">
        <v>6</v>
      </c>
      <c r="J57" s="3"/>
      <c r="K57" s="3">
        <f t="shared" si="3"/>
        <v>60000</v>
      </c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>
        <v>60000</v>
      </c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</row>
    <row r="58" spans="1:61" hidden="1" x14ac:dyDescent="0.25">
      <c r="A58" s="2">
        <v>7692862</v>
      </c>
      <c r="B58" t="s">
        <v>106</v>
      </c>
      <c r="C58" s="2">
        <v>6012540641</v>
      </c>
      <c r="D58" s="5" t="s">
        <v>107</v>
      </c>
      <c r="E58" s="2">
        <v>9</v>
      </c>
      <c r="F58" s="2"/>
      <c r="G58" s="2" t="s">
        <v>20</v>
      </c>
      <c r="H58" s="2"/>
      <c r="I58" s="5" t="s">
        <v>6</v>
      </c>
      <c r="J58" s="3"/>
      <c r="K58" s="3">
        <f t="shared" si="3"/>
        <v>13750</v>
      </c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>
        <v>13750</v>
      </c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</row>
    <row r="59" spans="1:61" hidden="1" x14ac:dyDescent="0.25">
      <c r="A59" s="2">
        <v>7600154</v>
      </c>
      <c r="B59" t="s">
        <v>108</v>
      </c>
      <c r="C59" s="2">
        <v>6012541587</v>
      </c>
      <c r="D59" s="5" t="s">
        <v>50</v>
      </c>
      <c r="E59" s="2">
        <v>12</v>
      </c>
      <c r="F59" s="2"/>
      <c r="G59" s="2" t="s">
        <v>5</v>
      </c>
      <c r="H59" s="2"/>
      <c r="I59" s="5" t="s">
        <v>6</v>
      </c>
      <c r="J59" s="3"/>
      <c r="K59" s="3">
        <f t="shared" si="3"/>
        <v>75000</v>
      </c>
      <c r="L59"/>
      <c r="M59"/>
      <c r="N59"/>
      <c r="O59"/>
      <c r="P59"/>
      <c r="Q59"/>
      <c r="R59"/>
      <c r="S59"/>
      <c r="T59"/>
      <c r="U59"/>
      <c r="V59"/>
      <c r="W59"/>
      <c r="X59">
        <v>25000</v>
      </c>
      <c r="Y59"/>
      <c r="Z59"/>
      <c r="AA59"/>
      <c r="AB59"/>
      <c r="AC59"/>
      <c r="AD59"/>
      <c r="AE59"/>
      <c r="AF59"/>
      <c r="AG59"/>
      <c r="AH59">
        <v>25000</v>
      </c>
      <c r="AI59"/>
      <c r="AJ59"/>
      <c r="AK59"/>
      <c r="AL59"/>
      <c r="AM59">
        <v>25000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</row>
    <row r="60" spans="1:61" hidden="1" x14ac:dyDescent="0.25">
      <c r="A60" s="2">
        <v>7692924</v>
      </c>
      <c r="B60" t="s">
        <v>109</v>
      </c>
      <c r="C60" s="2">
        <v>6012538488</v>
      </c>
      <c r="D60" s="5" t="s">
        <v>110</v>
      </c>
      <c r="E60" s="2">
        <v>12</v>
      </c>
      <c r="F60" s="2"/>
      <c r="G60" s="2" t="s">
        <v>20</v>
      </c>
      <c r="H60" s="2"/>
      <c r="I60" s="5" t="s">
        <v>6</v>
      </c>
      <c r="J60" s="3"/>
      <c r="K60" s="3">
        <f t="shared" si="3"/>
        <v>22500</v>
      </c>
      <c r="L60"/>
      <c r="M60"/>
      <c r="N60"/>
      <c r="O60"/>
      <c r="P60"/>
      <c r="Q60"/>
      <c r="R60"/>
      <c r="S60"/>
      <c r="T60"/>
      <c r="U60">
        <v>12500</v>
      </c>
      <c r="V60"/>
      <c r="W60">
        <v>10000</v>
      </c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</row>
    <row r="61" spans="1:61" hidden="1" x14ac:dyDescent="0.25">
      <c r="A61" s="2">
        <v>7692924</v>
      </c>
      <c r="B61" t="s">
        <v>109</v>
      </c>
      <c r="C61" s="2">
        <v>6012540813</v>
      </c>
      <c r="D61" s="5" t="s">
        <v>110</v>
      </c>
      <c r="E61" s="2">
        <v>12</v>
      </c>
      <c r="F61" s="2"/>
      <c r="G61" s="2" t="s">
        <v>20</v>
      </c>
      <c r="H61" s="2"/>
      <c r="I61" s="5" t="s">
        <v>6</v>
      </c>
      <c r="J61" s="3"/>
      <c r="K61" s="3">
        <f t="shared" si="3"/>
        <v>38750</v>
      </c>
      <c r="L61"/>
      <c r="M61"/>
      <c r="N61"/>
      <c r="O61"/>
      <c r="P61"/>
      <c r="Q61"/>
      <c r="R61"/>
      <c r="S61"/>
      <c r="T61"/>
      <c r="U61"/>
      <c r="V61"/>
      <c r="W61">
        <v>17500</v>
      </c>
      <c r="X61"/>
      <c r="Y61"/>
      <c r="Z61">
        <v>21250</v>
      </c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</row>
    <row r="62" spans="1:61" hidden="1" x14ac:dyDescent="0.25">
      <c r="A62" s="2">
        <v>7692858</v>
      </c>
      <c r="B62" t="s">
        <v>111</v>
      </c>
      <c r="C62" s="2">
        <v>6012540805</v>
      </c>
      <c r="D62" s="5" t="s">
        <v>107</v>
      </c>
      <c r="E62" s="2">
        <v>4</v>
      </c>
      <c r="F62" s="2"/>
      <c r="G62" s="2" t="s">
        <v>20</v>
      </c>
      <c r="H62" s="2"/>
      <c r="I62" s="5" t="s">
        <v>6</v>
      </c>
      <c r="J62" s="3"/>
      <c r="K62" s="3">
        <f t="shared" si="3"/>
        <v>25000</v>
      </c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>
        <v>25000</v>
      </c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</row>
    <row r="63" spans="1:61" hidden="1" x14ac:dyDescent="0.25">
      <c r="A63" s="2">
        <v>7652041</v>
      </c>
      <c r="B63" t="s">
        <v>112</v>
      </c>
      <c r="C63" s="2">
        <v>6012543568</v>
      </c>
      <c r="D63" s="5" t="s">
        <v>102</v>
      </c>
      <c r="E63" s="2">
        <v>3</v>
      </c>
      <c r="F63" s="2"/>
      <c r="G63" s="2" t="s">
        <v>5</v>
      </c>
      <c r="H63" s="2"/>
      <c r="I63" s="5" t="s">
        <v>113</v>
      </c>
      <c r="J63" s="3"/>
      <c r="K63" s="3">
        <f t="shared" si="3"/>
        <v>15000</v>
      </c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>
        <v>15000</v>
      </c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</row>
    <row r="64" spans="1:61" hidden="1" x14ac:dyDescent="0.25">
      <c r="A64" s="12">
        <v>7692923</v>
      </c>
      <c r="B64" t="s">
        <v>114</v>
      </c>
      <c r="C64" s="2">
        <v>6012544658</v>
      </c>
      <c r="D64" s="5" t="s">
        <v>31</v>
      </c>
      <c r="E64" s="2">
        <v>9</v>
      </c>
      <c r="F64" s="2"/>
      <c r="G64" s="2" t="s">
        <v>20</v>
      </c>
      <c r="H64" s="2"/>
      <c r="I64" s="5" t="s">
        <v>6</v>
      </c>
      <c r="J64" s="3"/>
      <c r="K64" s="3">
        <f t="shared" si="3"/>
        <v>206250</v>
      </c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>
        <v>66250</v>
      </c>
      <c r="AE64"/>
      <c r="AF64"/>
      <c r="AG64"/>
      <c r="AH64">
        <v>70000</v>
      </c>
      <c r="AI64"/>
      <c r="AJ64"/>
      <c r="AK64"/>
      <c r="AL64">
        <v>70000</v>
      </c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</row>
  </sheetData>
  <autoFilter ref="A3:BI64" xr:uid="{E8E9405E-5A6D-4380-B8BA-AF57E580B666}">
    <filterColumn colId="3">
      <filters>
        <filter val="MULTIEXPORT-ROWLET"/>
      </filters>
    </filterColumn>
  </autoFilter>
  <conditionalFormatting sqref="AN40">
    <cfRule type="duplicateValues" dxfId="2" priority="2"/>
  </conditionalFormatting>
  <conditionalFormatting sqref="AN40">
    <cfRule type="duplicateValues" dxfId="1" priority="1"/>
  </conditionalFormatting>
  <conditionalFormatting sqref="C3:C64">
    <cfRule type="duplicateValues" dxfId="0" priority="30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20992-8D00-41EE-AA0A-FDE3316FF8E6}">
  <sheetPr codeName="Hoja2"/>
  <dimension ref="A1:B40"/>
  <sheetViews>
    <sheetView zoomScale="85" zoomScaleNormal="85" workbookViewId="0">
      <selection activeCell="C8" sqref="C8"/>
    </sheetView>
  </sheetViews>
  <sheetFormatPr baseColWidth="10" defaultRowHeight="15" x14ac:dyDescent="0.25"/>
  <cols>
    <col min="1" max="1" width="32.7109375" bestFit="1" customWidth="1"/>
    <col min="2" max="2" width="14.7109375" style="2" customWidth="1"/>
    <col min="3" max="3" width="33" bestFit="1" customWidth="1"/>
  </cols>
  <sheetData>
    <row r="1" spans="1:2" x14ac:dyDescent="0.25">
      <c r="B1"/>
    </row>
    <row r="3" spans="1:2" ht="60" x14ac:dyDescent="0.25">
      <c r="A3" s="1" t="s">
        <v>12</v>
      </c>
      <c r="B3" s="6" t="s">
        <v>18</v>
      </c>
    </row>
    <row r="4" spans="1:2" x14ac:dyDescent="0.25">
      <c r="A4" s="5" t="s">
        <v>60</v>
      </c>
      <c r="B4" s="3">
        <v>201250</v>
      </c>
    </row>
    <row r="5" spans="1:2" x14ac:dyDescent="0.25">
      <c r="A5" s="5" t="s">
        <v>57</v>
      </c>
      <c r="B5" s="3">
        <v>678750</v>
      </c>
    </row>
    <row r="6" spans="1:2" x14ac:dyDescent="0.25">
      <c r="A6" s="5" t="s">
        <v>58</v>
      </c>
      <c r="B6" s="3">
        <v>441250</v>
      </c>
    </row>
    <row r="7" spans="1:2" x14ac:dyDescent="0.25">
      <c r="A7" s="5" t="s">
        <v>59</v>
      </c>
      <c r="B7" s="3">
        <v>341450</v>
      </c>
    </row>
    <row r="8" spans="1:2" x14ac:dyDescent="0.25">
      <c r="A8" s="5" t="s">
        <v>64</v>
      </c>
      <c r="B8" s="3">
        <v>245000</v>
      </c>
    </row>
    <row r="9" spans="1:2" x14ac:dyDescent="0.25">
      <c r="A9" s="5" t="s">
        <v>90</v>
      </c>
      <c r="B9" s="3">
        <v>0</v>
      </c>
    </row>
    <row r="10" spans="1:2" x14ac:dyDescent="0.25">
      <c r="A10" s="5" t="s">
        <v>120</v>
      </c>
      <c r="B10" s="3">
        <v>130000</v>
      </c>
    </row>
    <row r="11" spans="1:2" x14ac:dyDescent="0.25">
      <c r="A11" s="5" t="s">
        <v>121</v>
      </c>
      <c r="B11" s="3">
        <v>15000</v>
      </c>
    </row>
    <row r="12" spans="1:2" x14ac:dyDescent="0.25">
      <c r="A12" s="5" t="s">
        <v>7</v>
      </c>
      <c r="B12" s="3">
        <v>2052700</v>
      </c>
    </row>
    <row r="13" spans="1:2" x14ac:dyDescent="0.25">
      <c r="B13"/>
    </row>
    <row r="14" spans="1:2" x14ac:dyDescent="0.25">
      <c r="B14"/>
    </row>
    <row r="15" spans="1:2" x14ac:dyDescent="0.25">
      <c r="B15"/>
    </row>
    <row r="16" spans="1:2" x14ac:dyDescent="0.25">
      <c r="B16"/>
    </row>
    <row r="17" spans="1:2" x14ac:dyDescent="0.25">
      <c r="A17" s="1" t="s">
        <v>47</v>
      </c>
      <c r="B17" t="s">
        <v>91</v>
      </c>
    </row>
    <row r="18" spans="1:2" x14ac:dyDescent="0.25">
      <c r="A18" s="5"/>
    </row>
    <row r="19" spans="1:2" x14ac:dyDescent="0.25">
      <c r="A19" s="1" t="s">
        <v>18</v>
      </c>
    </row>
    <row r="20" spans="1:2" x14ac:dyDescent="0.25">
      <c r="A20" s="1" t="s">
        <v>13</v>
      </c>
      <c r="B20" t="s">
        <v>8</v>
      </c>
    </row>
    <row r="21" spans="1:2" x14ac:dyDescent="0.25">
      <c r="A21" t="s">
        <v>5</v>
      </c>
      <c r="B21" s="3">
        <v>1502700</v>
      </c>
    </row>
    <row r="22" spans="1:2" x14ac:dyDescent="0.25">
      <c r="A22" t="s">
        <v>20</v>
      </c>
      <c r="B22" s="3">
        <v>550000</v>
      </c>
    </row>
    <row r="23" spans="1:2" x14ac:dyDescent="0.25">
      <c r="A23" t="s">
        <v>7</v>
      </c>
      <c r="B23" s="3">
        <v>2052700</v>
      </c>
    </row>
    <row r="24" spans="1:2" x14ac:dyDescent="0.25">
      <c r="B24"/>
    </row>
    <row r="29" spans="1:2" x14ac:dyDescent="0.25">
      <c r="A29" s="1" t="s">
        <v>47</v>
      </c>
      <c r="B29" t="s">
        <v>91</v>
      </c>
    </row>
    <row r="30" spans="1:2" x14ac:dyDescent="0.25">
      <c r="A30" s="5"/>
    </row>
    <row r="31" spans="1:2" x14ac:dyDescent="0.25">
      <c r="A31" s="1" t="s">
        <v>18</v>
      </c>
    </row>
    <row r="32" spans="1:2" x14ac:dyDescent="0.25">
      <c r="A32" s="7" t="s">
        <v>3</v>
      </c>
      <c r="B32" t="s">
        <v>8</v>
      </c>
    </row>
    <row r="33" spans="1:2" x14ac:dyDescent="0.25">
      <c r="A33" s="2">
        <v>9</v>
      </c>
      <c r="B33" s="3">
        <v>1213000</v>
      </c>
    </row>
    <row r="34" spans="1:2" x14ac:dyDescent="0.25">
      <c r="A34" s="2">
        <v>12</v>
      </c>
      <c r="B34" s="3">
        <v>692500</v>
      </c>
    </row>
    <row r="35" spans="1:2" x14ac:dyDescent="0.25">
      <c r="A35" s="2">
        <v>4</v>
      </c>
      <c r="B35" s="3">
        <v>45200</v>
      </c>
    </row>
    <row r="36" spans="1:2" x14ac:dyDescent="0.25">
      <c r="A36" s="2">
        <v>6</v>
      </c>
      <c r="B36" s="3">
        <v>81000</v>
      </c>
    </row>
    <row r="37" spans="1:2" x14ac:dyDescent="0.25">
      <c r="A37" s="2">
        <v>3</v>
      </c>
      <c r="B37" s="3">
        <v>21000</v>
      </c>
    </row>
    <row r="38" spans="1:2" x14ac:dyDescent="0.25">
      <c r="A38" s="2">
        <v>2</v>
      </c>
      <c r="B38" s="3">
        <v>0</v>
      </c>
    </row>
    <row r="39" spans="1:2" x14ac:dyDescent="0.25">
      <c r="A39" s="2" t="s">
        <v>7</v>
      </c>
      <c r="B39" s="3">
        <v>2052700</v>
      </c>
    </row>
    <row r="40" spans="1:2" x14ac:dyDescent="0.25">
      <c r="B40"/>
    </row>
  </sheetData>
  <pageMargins left="0.7" right="0.7" top="0.75" bottom="0.75" header="0.3" footer="0.3"/>
  <pageSetup orientation="portrait" horizontalDpi="4294967293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E9540-76BD-4FF2-9B6B-B3E2021B0650}">
  <sheetPr codeName="Hoja3"/>
  <dimension ref="C3:D5"/>
  <sheetViews>
    <sheetView tabSelected="1" workbookViewId="0">
      <selection activeCell="D17" sqref="D17"/>
    </sheetView>
  </sheetViews>
  <sheetFormatPr baseColWidth="10" defaultRowHeight="15" x14ac:dyDescent="0.25"/>
  <cols>
    <col min="3" max="3" width="12.28515625" bestFit="1" customWidth="1"/>
  </cols>
  <sheetData>
    <row r="3" spans="3:4" x14ac:dyDescent="0.25">
      <c r="C3" s="4" t="s">
        <v>10</v>
      </c>
      <c r="D3" s="11">
        <v>2052.6999999999998</v>
      </c>
    </row>
    <row r="4" spans="3:4" x14ac:dyDescent="0.25">
      <c r="C4" s="4" t="s">
        <v>9</v>
      </c>
      <c r="D4" s="4">
        <v>3920</v>
      </c>
    </row>
    <row r="5" spans="3:4" x14ac:dyDescent="0.25">
      <c r="C5" s="4" t="s">
        <v>11</v>
      </c>
      <c r="D5" s="4">
        <f>D4-D3</f>
        <v>1867.3000000000002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d64a6fc3-496d-44ea-86a8-5b93f17e3566}" enabled="1" method="Standard" siteId="{3b16616d-f174-497a-a1ae-900d851069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DATA</vt:lpstr>
      <vt:lpstr>Fecha Cliente</vt:lpstr>
      <vt:lpstr>TD</vt:lpstr>
      <vt:lpstr>DIFERENCIAL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 Iturrieta Espinoza</dc:creator>
  <cp:lastModifiedBy>Hernan Iturrieta Espinoza</cp:lastModifiedBy>
  <dcterms:created xsi:type="dcterms:W3CDTF">2021-12-23T22:29:52Z</dcterms:created>
  <dcterms:modified xsi:type="dcterms:W3CDTF">2024-06-06T20:26:55Z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64a6fc3-496d-44ea-86a8-5b93f17e3566_Enabled">
    <vt:lpwstr>true</vt:lpwstr>
  </property>
  <property fmtid="{D5CDD505-2E9C-101B-9397-08002B2CF9AE}" pid="3" name="MSIP_Label_d64a6fc3-496d-44ea-86a8-5b93f17e3566_SetDate">
    <vt:lpwstr>2023-12-28T15:22:11Z</vt:lpwstr>
  </property>
  <property fmtid="{D5CDD505-2E9C-101B-9397-08002B2CF9AE}" pid="4" name="MSIP_Label_d64a6fc3-496d-44ea-86a8-5b93f17e3566_Method">
    <vt:lpwstr>Standard</vt:lpwstr>
  </property>
  <property fmtid="{D5CDD505-2E9C-101B-9397-08002B2CF9AE}" pid="5" name="MSIP_Label_d64a6fc3-496d-44ea-86a8-5b93f17e3566_Name">
    <vt:lpwstr>GRUPOALICORP_Uso-Interno</vt:lpwstr>
  </property>
  <property fmtid="{D5CDD505-2E9C-101B-9397-08002B2CF9AE}" pid="6" name="MSIP_Label_d64a6fc3-496d-44ea-86a8-5b93f17e3566_SiteId">
    <vt:lpwstr>3b16616d-f174-497a-a1ae-900d85106996</vt:lpwstr>
  </property>
  <property fmtid="{D5CDD505-2E9C-101B-9397-08002B2CF9AE}" pid="7" name="MSIP_Label_d64a6fc3-496d-44ea-86a8-5b93f17e3566_ActionId">
    <vt:lpwstr>c9646227-3e4f-4fee-84d4-3f133678de57</vt:lpwstr>
  </property>
  <property fmtid="{D5CDD505-2E9C-101B-9397-08002B2CF9AE}" pid="8" name="MSIP_Label_d64a6fc3-496d-44ea-86a8-5b93f17e3566_ContentBits">
    <vt:lpwstr>0</vt:lpwstr>
  </property>
</Properties>
</file>